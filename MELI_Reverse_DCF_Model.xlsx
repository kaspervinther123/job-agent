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everse DCF" sheetId="2" state="visible" r:id="rId2"/>
    <sheet name="WACC" sheetId="3" state="visible" r:id="rId3"/>
    <sheet name="Historicals" sheetId="4" state="visible" r:id="rId4"/>
    <sheet name="Sensitivity" sheetId="5" state="visible" r:id="rId5"/>
    <sheet name="Instru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DD-MMM-YYYY"/>
    <numFmt numFmtId="165" formatCode="$#,##0.00"/>
    <numFmt numFmtId="166" formatCode="$#,##0"/>
    <numFmt numFmtId="167" formatCode="0.0"/>
    <numFmt numFmtId="168" formatCode="0.0%"/>
    <numFmt numFmtId="169" formatCode="+0.0%;-0.0%;0.0%"/>
    <numFmt numFmtId="170" formatCode="0.000000"/>
  </numFmts>
  <fonts count="33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color rgb="00FFFFFF"/>
      <sz val="12"/>
    </font>
    <font>
      <name val="Calibri"/>
      <b val="1"/>
      <color rgb="002D6A4F"/>
      <sz val="10"/>
    </font>
    <font>
      <name val="Calibri"/>
      <color rgb="00666666"/>
      <sz val="9"/>
    </font>
    <font>
      <name val="Calibri"/>
      <b val="1"/>
      <color rgb="00FFFFFF"/>
      <sz val="10"/>
    </font>
    <font>
      <name val="Calibri"/>
      <b val="1"/>
      <color rgb="001A1A1A"/>
      <sz val="10"/>
    </font>
    <font>
      <name val="Calibri"/>
      <b val="1"/>
      <color rgb="001565C0"/>
      <sz val="10"/>
    </font>
    <font>
      <name val="Calibri"/>
      <b val="1"/>
      <color rgb="007B3F00"/>
      <sz val="11"/>
    </font>
    <font>
      <name val="Calibri"/>
      <color rgb="001A1A1A"/>
      <sz val="10"/>
    </font>
    <font>
      <name val="Calibri"/>
      <color rgb="00C0392B"/>
      <sz val="10"/>
    </font>
    <font>
      <name val="Calibri"/>
      <color rgb="00999999"/>
      <sz val="8"/>
    </font>
    <font>
      <name val="Calibri"/>
      <b val="1"/>
      <color rgb="00FFFFFF"/>
      <sz val="18"/>
    </font>
    <font>
      <name val="Calibri"/>
      <color rgb="00FFFFFF"/>
      <sz val="11"/>
    </font>
    <font>
      <name val="Calibri"/>
      <b val="1"/>
      <color rgb="00FFFFFF"/>
      <sz val="11"/>
    </font>
    <font>
      <name val="Calibri"/>
      <b val="1"/>
      <color rgb="000D47A1"/>
      <sz val="10"/>
    </font>
    <font>
      <name val="Calibri"/>
      <b val="1"/>
      <color rgb="007B3F00"/>
      <sz val="10"/>
    </font>
    <font>
      <name val="Calibri"/>
      <b val="1"/>
      <color rgb="00FFFFFF"/>
      <sz val="12"/>
    </font>
    <font>
      <name val="Calibri"/>
      <b val="1"/>
      <color rgb="007B3F00"/>
      <sz val="16"/>
    </font>
    <font>
      <name val="Calibri"/>
      <color rgb="00444444"/>
      <sz val="9"/>
    </font>
    <font>
      <name val="Calibri"/>
      <color rgb="00E74C3C"/>
      <sz val="9"/>
    </font>
    <font>
      <name val="Calibri"/>
      <color rgb="00777777"/>
      <sz val="8"/>
    </font>
    <font>
      <name val="Calibri"/>
      <b val="1"/>
      <color rgb="001B4332"/>
      <sz val="10"/>
    </font>
    <font>
      <name val="Calibri"/>
      <b val="1"/>
      <color rgb="007B3F00"/>
      <sz val="14"/>
    </font>
    <font>
      <name val="Calibri"/>
      <color rgb="00333333"/>
      <sz val="10"/>
    </font>
    <font>
      <name val="Calibri"/>
      <color rgb="00555555"/>
      <sz val="9"/>
    </font>
    <font>
      <name val="Calibri"/>
      <b val="1"/>
      <color rgb="00FFFFFF"/>
      <sz val="16"/>
    </font>
    <font>
      <name val="Calibri"/>
      <color rgb="00FFFFFF"/>
      <sz val="10"/>
    </font>
    <font>
      <name val="Calibri"/>
      <color rgb="001565C0"/>
      <sz val="10"/>
    </font>
    <font>
      <name val="Calibri"/>
      <color rgb="00777777"/>
      <sz val="9"/>
    </font>
    <font>
      <name val="Calibri"/>
      <b val="1"/>
      <color rgb="00FFFFFF"/>
      <sz val="9"/>
    </font>
    <font>
      <name val="Calibri"/>
      <color rgb="002D6A4F"/>
      <sz val="10"/>
    </font>
    <font>
      <name val="Calibri"/>
      <b val="1"/>
      <color rgb="00E74C3C"/>
      <sz val="10"/>
    </font>
  </fonts>
  <fills count="11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2D6A4F"/>
      </patternFill>
    </fill>
    <fill>
      <patternFill patternType="solid">
        <fgColor rgb="00F5F5F5"/>
      </patternFill>
    </fill>
    <fill>
      <patternFill patternType="solid">
        <fgColor rgb="0040916C"/>
      </patternFill>
    </fill>
    <fill>
      <patternFill patternType="solid">
        <fgColor rgb="00EBF5FB"/>
      </patternFill>
    </fill>
    <fill>
      <patternFill patternType="solid">
        <fgColor rgb="00FFF3CD"/>
      </patternFill>
    </fill>
    <fill>
      <patternFill patternType="solid">
        <fgColor rgb="00FFFDE7"/>
      </patternFill>
    </fill>
    <fill>
      <patternFill patternType="solid">
        <fgColor rgb="00FFFFFF"/>
      </patternFill>
    </fill>
    <fill>
      <patternFill patternType="solid">
        <fgColor rgb="00D4EDDA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0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/>
    </xf>
    <xf numFmtId="164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indent="1"/>
    </xf>
    <xf numFmtId="165" fontId="7" fillId="6" borderId="1" applyAlignment="1" pivotButton="0" quotePrefix="0" xfId="0">
      <alignment horizontal="right" vertical="center"/>
    </xf>
    <xf numFmtId="10" fontId="8" fillId="7" borderId="1" applyAlignment="1" pivotButton="0" quotePrefix="0" xfId="0">
      <alignment horizontal="right" vertical="center"/>
    </xf>
    <xf numFmtId="166" fontId="7" fillId="6" borderId="1" applyAlignment="1" pivotButton="0" quotePrefix="0" xfId="0">
      <alignment horizontal="right" vertical="center"/>
    </xf>
    <xf numFmtId="165" fontId="6" fillId="8" borderId="1" applyAlignment="1" pivotButton="0" quotePrefix="0" xfId="0">
      <alignment horizontal="right" vertical="center"/>
    </xf>
    <xf numFmtId="167" fontId="7" fillId="6" borderId="1" applyAlignment="1" pivotButton="0" quotePrefix="0" xfId="0">
      <alignment horizontal="right" vertical="center"/>
    </xf>
    <xf numFmtId="168" fontId="6" fillId="8" borderId="1" applyAlignment="1" pivotButton="0" quotePrefix="0" xfId="0">
      <alignment horizontal="right" vertical="center"/>
    </xf>
    <xf numFmtId="166" fontId="6" fillId="8" borderId="1" applyAlignment="1" pivotButton="0" quotePrefix="0" xfId="0">
      <alignment horizontal="right" vertical="center"/>
    </xf>
    <xf numFmtId="10" fontId="7" fillId="6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 indent="1"/>
    </xf>
    <xf numFmtId="166" fontId="9" fillId="4" borderId="1" applyAlignment="1" pivotButton="0" quotePrefix="0" xfId="0">
      <alignment horizontal="right" vertical="center"/>
    </xf>
    <xf numFmtId="0" fontId="9" fillId="9" borderId="1" applyAlignment="1" pivotButton="0" quotePrefix="0" xfId="0">
      <alignment horizontal="left" vertical="center" indent="1"/>
    </xf>
    <xf numFmtId="166" fontId="9" fillId="9" borderId="1" applyAlignment="1" pivotButton="0" quotePrefix="0" xfId="0">
      <alignment horizontal="right" vertical="center"/>
    </xf>
    <xf numFmtId="166" fontId="10" fillId="9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/>
    </xf>
    <xf numFmtId="0" fontId="12" fillId="2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25" fillId="4" borderId="0" applyAlignment="1" pivotButton="0" quotePrefix="0" xfId="0">
      <alignment horizontal="left" vertical="center" wrapText="1"/>
    </xf>
    <xf numFmtId="165" fontId="15" fillId="6" borderId="1" applyAlignment="1" pivotButton="0" quotePrefix="0" xfId="0">
      <alignment horizontal="right" vertical="center"/>
    </xf>
    <xf numFmtId="0" fontId="21" fillId="4" borderId="0" applyAlignment="1" pivotButton="0" quotePrefix="0" xfId="0">
      <alignment horizontal="left" vertical="center"/>
    </xf>
    <xf numFmtId="0" fontId="22" fillId="4" borderId="1" applyAlignment="1" pivotButton="0" quotePrefix="0" xfId="0">
      <alignment horizontal="left" vertical="center" indent="1"/>
    </xf>
    <xf numFmtId="10" fontId="23" fillId="7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left" vertical="center" indent="1"/>
    </xf>
    <xf numFmtId="166" fontId="15" fillId="6" borderId="1" applyAlignment="1" pivotButton="0" quotePrefix="0" xfId="0">
      <alignment horizontal="right" vertical="center"/>
    </xf>
    <xf numFmtId="0" fontId="21" fillId="9" borderId="0" applyAlignment="1" pivotButton="0" quotePrefix="0" xfId="0">
      <alignment horizontal="left" vertical="center"/>
    </xf>
    <xf numFmtId="0" fontId="24" fillId="4" borderId="1" applyAlignment="1" pivotButton="0" quotePrefix="0" xfId="0">
      <alignment horizontal="left" vertical="center" indent="1"/>
    </xf>
    <xf numFmtId="10" fontId="9" fillId="10" borderId="1" applyAlignment="1" pivotButton="0" quotePrefix="0" xfId="0">
      <alignment horizontal="right" vertical="center"/>
    </xf>
    <xf numFmtId="9" fontId="9" fillId="4" borderId="1" applyAlignment="1" pivotButton="0" quotePrefix="0" xfId="0">
      <alignment horizontal="center" vertical="center"/>
    </xf>
    <xf numFmtId="165" fontId="9" fillId="4" borderId="1" applyAlignment="1" pivotButton="0" quotePrefix="0" xfId="0">
      <alignment horizontal="right" vertical="center"/>
    </xf>
    <xf numFmtId="169" fontId="9" fillId="4" borderId="1" applyAlignment="1" pivotButton="0" quotePrefix="0" xfId="0">
      <alignment horizontal="right" vertical="center"/>
    </xf>
    <xf numFmtId="167" fontId="15" fillId="6" borderId="1" applyAlignment="1" pivotButton="0" quotePrefix="0" xfId="0">
      <alignment horizontal="right" vertical="center"/>
    </xf>
    <xf numFmtId="9" fontId="9" fillId="9" borderId="1" applyAlignment="1" pivotButton="0" quotePrefix="0" xfId="0">
      <alignment horizontal="center" vertical="center"/>
    </xf>
    <xf numFmtId="165" fontId="9" fillId="9" borderId="1" applyAlignment="1" pivotButton="0" quotePrefix="0" xfId="0">
      <alignment horizontal="right" vertical="center"/>
    </xf>
    <xf numFmtId="169" fontId="9" fillId="9" borderId="1" applyAlignment="1" pivotButton="0" quotePrefix="0" xfId="0">
      <alignment horizontal="right" vertical="center"/>
    </xf>
    <xf numFmtId="169" fontId="9" fillId="8" borderId="1" applyAlignment="1" pivotButton="0" quotePrefix="0" xfId="0">
      <alignment horizontal="right" vertical="center"/>
    </xf>
    <xf numFmtId="166" fontId="9" fillId="8" borderId="1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/>
    </xf>
    <xf numFmtId="10" fontId="6" fillId="8" borderId="1" applyAlignment="1" pivotButton="0" quotePrefix="0" xfId="0">
      <alignment horizontal="right" vertical="center"/>
    </xf>
    <xf numFmtId="10" fontId="15" fillId="6" borderId="1" applyAlignment="1" pivotButton="0" quotePrefix="0" xfId="0">
      <alignment horizontal="right" vertical="center"/>
    </xf>
    <xf numFmtId="1" fontId="15" fillId="6" borderId="1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/>
    </xf>
    <xf numFmtId="1" fontId="9" fillId="4" borderId="1" applyAlignment="1" pivotButton="0" quotePrefix="0" xfId="0">
      <alignment horizontal="center" vertical="center"/>
    </xf>
    <xf numFmtId="168" fontId="9" fillId="4" borderId="1" applyAlignment="1" pivotButton="0" quotePrefix="0" xfId="0">
      <alignment horizontal="right" vertical="center"/>
    </xf>
    <xf numFmtId="170" fontId="9" fillId="4" borderId="1" applyAlignment="1" pivotButton="0" quotePrefix="0" xfId="0">
      <alignment horizontal="right" vertical="center"/>
    </xf>
    <xf numFmtId="0" fontId="9" fillId="9" borderId="1" applyAlignment="1" pivotButton="0" quotePrefix="0" xfId="0">
      <alignment horizontal="center" vertical="center"/>
    </xf>
    <xf numFmtId="1" fontId="9" fillId="9" borderId="1" applyAlignment="1" pivotButton="0" quotePrefix="0" xfId="0">
      <alignment horizontal="center" vertical="center"/>
    </xf>
    <xf numFmtId="168" fontId="9" fillId="9" borderId="1" applyAlignment="1" pivotButton="0" quotePrefix="0" xfId="0">
      <alignment horizontal="right" vertical="center"/>
    </xf>
    <xf numFmtId="170" fontId="9" fillId="9" borderId="1" applyAlignment="1" pivotButton="0" quotePrefix="0" xfId="0">
      <alignment horizontal="right" vertical="center"/>
    </xf>
    <xf numFmtId="166" fontId="6" fillId="7" borderId="1" applyAlignment="1" pivotButton="0" quotePrefix="0" xfId="0">
      <alignment horizontal="right" vertical="center"/>
    </xf>
    <xf numFmtId="167" fontId="9" fillId="4" borderId="1" applyAlignment="1" pivotButton="0" quotePrefix="0" xfId="0">
      <alignment horizontal="right" vertical="center"/>
    </xf>
    <xf numFmtId="165" fontId="8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/>
    </xf>
    <xf numFmtId="10" fontId="23" fillId="7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indent="1"/>
    </xf>
    <xf numFmtId="2" fontId="15" fillId="6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left" vertical="center" indent="1"/>
    </xf>
    <xf numFmtId="10" fontId="16" fillId="7" borderId="1" applyAlignment="1" pivotButton="0" quotePrefix="0" xfId="0">
      <alignment horizontal="right" vertical="center"/>
    </xf>
    <xf numFmtId="168" fontId="15" fillId="6" borderId="1" applyAlignment="1" pivotButton="0" quotePrefix="0" xfId="0">
      <alignment horizontal="right" vertical="center"/>
    </xf>
    <xf numFmtId="166" fontId="6" fillId="4" borderId="1" applyAlignment="1" pivotButton="0" quotePrefix="0" xfId="0">
      <alignment horizontal="right" vertical="center"/>
    </xf>
    <xf numFmtId="10" fontId="6" fillId="9" borderId="1" applyAlignment="1" pivotButton="0" quotePrefix="0" xfId="0">
      <alignment horizontal="right" vertical="center"/>
    </xf>
    <xf numFmtId="10" fontId="6" fillId="4" borderId="1" applyAlignment="1" pivotButton="0" quotePrefix="0" xfId="0">
      <alignment horizontal="right" vertical="center"/>
    </xf>
    <xf numFmtId="0" fontId="17" fillId="2" borderId="1" applyAlignment="1" pivotButton="0" quotePrefix="0" xfId="0">
      <alignment horizontal="center" vertical="center"/>
    </xf>
    <xf numFmtId="10" fontId="18" fillId="7" borderId="1" applyAlignment="1" pivotButton="0" quotePrefix="0" xfId="0">
      <alignment horizontal="center" vertical="center"/>
    </xf>
    <xf numFmtId="0" fontId="19" fillId="9" borderId="1" applyAlignment="1" pivotButton="0" quotePrefix="0" xfId="0">
      <alignment horizontal="left" vertical="center" indent="1"/>
    </xf>
    <xf numFmtId="0" fontId="20" fillId="0" borderId="0" applyAlignment="1" pivotButton="0" quotePrefix="0" xfId="0">
      <alignment horizontal="left" vertical="center" indent="1"/>
    </xf>
    <xf numFmtId="0" fontId="26" fillId="2" borderId="1" applyAlignment="1" pivotButton="0" quotePrefix="0" xfId="0">
      <alignment horizontal="center" vertical="center"/>
    </xf>
    <xf numFmtId="0" fontId="27" fillId="3" borderId="1" applyAlignment="1" pivotButton="0" quotePrefix="0" xfId="0">
      <alignment horizontal="center" vertical="center"/>
    </xf>
    <xf numFmtId="168" fontId="3" fillId="10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 indent="2"/>
    </xf>
    <xf numFmtId="0" fontId="9" fillId="9" borderId="1" applyAlignment="1" pivotButton="0" quotePrefix="0" xfId="0">
      <alignment horizontal="left" vertical="center" indent="2"/>
    </xf>
    <xf numFmtId="168" fontId="28" fillId="9" borderId="1" applyAlignment="1" pivotButton="0" quotePrefix="0" xfId="0">
      <alignment horizontal="right" vertical="center"/>
    </xf>
    <xf numFmtId="166" fontId="10" fillId="4" borderId="1" applyAlignment="1" pivotButton="0" quotePrefix="0" xfId="0">
      <alignment horizontal="right" vertical="center"/>
    </xf>
    <xf numFmtId="168" fontId="28" fillId="4" borderId="1" applyAlignment="1" pivotButton="0" quotePrefix="0" xfId="0">
      <alignment horizontal="right" vertical="center"/>
    </xf>
    <xf numFmtId="0" fontId="27" fillId="3" borderId="1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right" vertical="center"/>
    </xf>
    <xf numFmtId="165" fontId="15" fillId="6" borderId="1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/>
    </xf>
    <xf numFmtId="0" fontId="30" fillId="5" borderId="1" applyAlignment="1" pivotButton="0" quotePrefix="0" xfId="0">
      <alignment horizontal="center" vertical="center"/>
    </xf>
    <xf numFmtId="0" fontId="25" fillId="0" borderId="0" applyAlignment="1" pivotButton="0" quotePrefix="0" xfId="0">
      <alignment horizontal="left" vertical="center" wrapText="1"/>
    </xf>
    <xf numFmtId="0" fontId="31" fillId="9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9" fillId="9" borderId="0" applyAlignment="1" pivotButton="0" quotePrefix="0" xfId="0">
      <alignment horizontal="left" vertical="center" indent="1"/>
    </xf>
    <xf numFmtId="0" fontId="28" fillId="9" borderId="0" applyAlignment="1" pivotButton="0" quotePrefix="0" xfId="0">
      <alignment horizontal="left" vertical="center" indent="2"/>
    </xf>
    <xf numFmtId="0" fontId="10" fillId="9" borderId="0" applyAlignment="1" pivotButton="0" quotePrefix="0" xfId="0">
      <alignment horizontal="left" vertical="center" indent="1"/>
    </xf>
    <xf numFmtId="0" fontId="28" fillId="4" borderId="0" applyAlignment="1" pivotButton="0" quotePrefix="0" xfId="0">
      <alignment horizontal="left" vertical="center" indent="2"/>
    </xf>
    <xf numFmtId="0" fontId="6" fillId="9" borderId="0" applyAlignment="1" pivotButton="0" quotePrefix="0" xfId="0">
      <alignment horizontal="left" vertical="center" indent="1"/>
    </xf>
    <xf numFmtId="0" fontId="9" fillId="9" borderId="0" applyAlignment="1" pivotButton="0" quotePrefix="0" xfId="0">
      <alignment horizontal="left" vertical="center" indent="2"/>
    </xf>
    <xf numFmtId="0" fontId="28" fillId="4" borderId="0" applyAlignment="1" pivotButton="0" quotePrefix="0" xfId="0">
      <alignment horizontal="left" vertical="center" indent="3"/>
    </xf>
    <xf numFmtId="0" fontId="3" fillId="9" borderId="0" applyAlignment="1" pivotButton="0" quotePrefix="0" xfId="0">
      <alignment horizontal="left" vertical="center" indent="2"/>
    </xf>
    <xf numFmtId="0" fontId="32" fillId="9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Implied DCF Price vs FCF Growth Rate</a:t>
            </a:r>
          </a:p>
        </rich>
      </tx>
    </title>
    <plotArea>
      <lineChart>
        <grouping val="standard"/>
        <ser>
          <idx val="0"/>
          <order val="0"/>
          <tx>
            <v>Implied Price</v>
          </tx>
          <spPr>
            <a:ln w="20000">
              <a:solidFill>
                <a:srgbClr val="2D6A4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'Reverse DCF'!$H$8:$H$68</f>
            </numRef>
          </cat>
          <val>
            <numRef>
              <f>'Reverse DCF'!$I$8:$I$68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Assumed FCF Growth Rate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Implied Stock Price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MercadoLibre — Annual Free Cash Flow ($M)</a:t>
            </a:r>
          </a:p>
        </rich>
      </tx>
    </title>
    <plotArea>
      <barChart>
        <barDir val="col"/>
        <grouping val="clustered"/>
        <ser>
          <idx val="0"/>
          <order val="0"/>
          <tx>
            <v>FCF ($M)</v>
          </tx>
          <spPr>
            <a:solidFill>
              <a:srgbClr val="2D6A4F"/>
            </a:solidFill>
            <a:ln>
              <a:prstDash val="solid"/>
            </a:ln>
          </spPr>
          <cat>
            <numRef>
              <f>'Historicals'!$C$5:$G$5</f>
            </numRef>
          </cat>
          <val>
            <numRef>
              <f>'Historicals'!$C$16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'Historicals'!$C$5:$G$5</f>
            </numRef>
          </cat>
          <val>
            <numRef>
              <f>'Historicals'!$D$16</f>
            </numRef>
          </val>
        </ser>
        <ser>
          <idx val="2"/>
          <order val="2"/>
          <spPr>
            <a:ln>
              <a:prstDash val="solid"/>
            </a:ln>
          </spPr>
          <cat>
            <numRef>
              <f>'Historicals'!$C$5:$G$5</f>
            </numRef>
          </cat>
          <val>
            <numRef>
              <f>'Historicals'!$E$16</f>
            </numRef>
          </val>
        </ser>
        <ser>
          <idx val="3"/>
          <order val="3"/>
          <spPr>
            <a:ln>
              <a:prstDash val="solid"/>
            </a:ln>
          </spPr>
          <cat>
            <numRef>
              <f>'Historicals'!$C$5:$G$5</f>
            </numRef>
          </cat>
          <val>
            <numRef>
              <f>'Historicals'!$F$16</f>
            </numRef>
          </val>
        </ser>
        <ser>
          <idx val="4"/>
          <order val="4"/>
          <spPr>
            <a:ln>
              <a:prstDash val="solid"/>
            </a:ln>
          </spPr>
          <cat>
            <numRef>
              <f>'Historicals'!$C$5:$G$5</f>
            </numRef>
          </cat>
          <val>
            <numRef>
              <f>'Historicals'!$G$16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FCF ($M)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70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21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1B4332"/>
    <outlinePr summaryBelow="1" summaryRight="1"/>
    <pageSetUpPr fitToPage="1"/>
  </sheetPr>
  <dimension ref="B2:G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20" customWidth="1" min="3" max="3"/>
    <col width="3" customWidth="1" min="4" max="4"/>
    <col width="26" customWidth="1" min="5" max="5"/>
    <col width="20" customWidth="1" min="6" max="6"/>
    <col width="3" customWidth="1" min="7" max="7"/>
  </cols>
  <sheetData>
    <row r="2" ht="50" customHeight="1">
      <c r="B2" s="1" t="inlineStr">
        <is>
          <t>MERCADOLIBRE ($MELI) — REVERSE DCF MODEL</t>
        </is>
      </c>
      <c r="C2" s="2" t="n"/>
      <c r="D2" s="2" t="n"/>
      <c r="E2" s="2" t="n"/>
      <c r="F2" s="3" t="n"/>
    </row>
    <row r="3" ht="24" customHeight="1">
      <c r="B3" s="4" t="inlineStr">
        <is>
          <t>What FCF growth rate is the market currently pricing in?</t>
        </is>
      </c>
      <c r="C3" s="2" t="n"/>
      <c r="D3" s="2" t="n"/>
      <c r="E3" s="2" t="n"/>
      <c r="F3" s="3" t="n"/>
    </row>
    <row r="4" ht="16" customHeight="1">
      <c r="B4" s="5">
        <f>TODAY()</f>
        <v/>
      </c>
      <c r="C4" s="6" t="inlineStr">
        <is>
          <t>Model auto-recalculates when inputs change. Use Data &gt; Refresh All for live price.</t>
        </is>
      </c>
    </row>
    <row r="6">
      <c r="B6" s="7" t="inlineStr">
        <is>
          <t>KEY MODEL INPUTS</t>
        </is>
      </c>
      <c r="C6" s="3" t="n"/>
      <c r="E6" s="7" t="inlineStr">
        <is>
          <t>KEY MODEL OUTPUTS</t>
        </is>
      </c>
      <c r="F6" s="3" t="n"/>
    </row>
    <row r="7" ht="22" customHeight="1">
      <c r="B7" s="8" t="inlineStr">
        <is>
          <t>Current Stock Price</t>
        </is>
      </c>
      <c r="C7" s="9">
        <f>'Reverse DCF'!C7</f>
        <v/>
      </c>
      <c r="E7" s="8" t="inlineStr">
        <is>
          <t>Implied FCF Growth Rate</t>
        </is>
      </c>
      <c r="F7" s="10">
        <f>'Reverse DCF'!C19</f>
        <v/>
      </c>
    </row>
    <row r="8" ht="22" customHeight="1">
      <c r="B8" s="8" t="inlineStr">
        <is>
          <t>Base FCF (FY2024, $M)</t>
        </is>
      </c>
      <c r="C8" s="11">
        <f>'Reverse DCF'!C8</f>
        <v/>
      </c>
      <c r="E8" s="8" t="inlineStr">
        <is>
          <t>Intrinsic Value (Your View)</t>
        </is>
      </c>
      <c r="F8" s="12">
        <f>'Reverse DCF'!C24</f>
        <v/>
      </c>
    </row>
    <row r="9" ht="22" customHeight="1">
      <c r="B9" s="8" t="inlineStr">
        <is>
          <t>Shares Outstanding (M)</t>
        </is>
      </c>
      <c r="C9" s="13">
        <f>'Reverse DCF'!C9</f>
        <v/>
      </c>
      <c r="E9" s="8" t="inlineStr">
        <is>
          <t>Premium / (Discount)</t>
        </is>
      </c>
      <c r="F9" s="14">
        <f>'Reverse DCF'!C25</f>
        <v/>
      </c>
    </row>
    <row r="10" ht="22" customHeight="1">
      <c r="B10" s="8" t="inlineStr">
        <is>
          <t>Net Debt ($M)</t>
        </is>
      </c>
      <c r="C10" s="11">
        <f>'Reverse DCF'!C10</f>
        <v/>
      </c>
      <c r="E10" s="8" t="inlineStr">
        <is>
          <t>Enterprise Value ($M)</t>
        </is>
      </c>
      <c r="F10" s="15">
        <f>'Reverse DCF'!C43</f>
        <v/>
      </c>
    </row>
    <row r="11" ht="22" customHeight="1">
      <c r="B11" s="8" t="inlineStr">
        <is>
          <t>WACC</t>
        </is>
      </c>
      <c r="C11" s="16">
        <f>'WACC'!C28</f>
        <v/>
      </c>
      <c r="E11" s="8" t="inlineStr">
        <is>
          <t>Equity Value ($M)</t>
        </is>
      </c>
      <c r="F11" s="15">
        <f>'Reverse DCF'!C44</f>
        <v/>
      </c>
    </row>
    <row r="12" ht="22" customHeight="1">
      <c r="B12" s="8" t="inlineStr">
        <is>
          <t>Terminal Growth Rate</t>
        </is>
      </c>
      <c r="C12" s="16">
        <f>'Reverse DCF'!C15</f>
        <v/>
      </c>
      <c r="E12" s="8" t="inlineStr">
        <is>
          <t>PV of Terminal Value (%)</t>
        </is>
      </c>
      <c r="F12" s="14">
        <f>IF('Reverse DCF'!C43&lt;&gt;0,'Reverse DCF'!C42/'Reverse DCF'!C43,0)</f>
        <v/>
      </c>
    </row>
    <row r="15" ht="20" customHeight="1">
      <c r="B15" s="17" t="inlineStr">
        <is>
          <t>HISTORICAL FCF SUMMARY ($M)</t>
        </is>
      </c>
      <c r="C15" s="2" t="n"/>
      <c r="D15" s="2" t="n"/>
      <c r="E15" s="2" t="n"/>
      <c r="F15" s="3" t="n"/>
    </row>
    <row r="16">
      <c r="B16" s="18" t="inlineStr">
        <is>
          <t>Metric</t>
        </is>
      </c>
      <c r="C16" s="18" t="inlineStr">
        <is>
          <t>2020</t>
        </is>
      </c>
      <c r="D16" s="18" t="inlineStr">
        <is>
          <t>2021</t>
        </is>
      </c>
      <c r="E16" s="18" t="inlineStr">
        <is>
          <t>2022</t>
        </is>
      </c>
      <c r="F16" s="18" t="inlineStr">
        <is>
          <t>2023</t>
        </is>
      </c>
      <c r="G16" s="18" t="inlineStr">
        <is>
          <t>2024</t>
        </is>
      </c>
    </row>
    <row r="17" ht="18" customHeight="1">
      <c r="B17" s="19" t="inlineStr">
        <is>
          <t>Revenue</t>
        </is>
      </c>
      <c r="C17" s="20" t="n">
        <v>3969</v>
      </c>
      <c r="D17" s="20" t="n">
        <v>7069</v>
      </c>
      <c r="E17" s="20" t="n">
        <v>10537</v>
      </c>
      <c r="F17" s="20" t="n">
        <v>14474</v>
      </c>
      <c r="G17" s="20" t="n">
        <v>20777</v>
      </c>
    </row>
    <row r="18" ht="18" customHeight="1">
      <c r="B18" s="21" t="inlineStr">
        <is>
          <t>Gross Profit</t>
        </is>
      </c>
      <c r="C18" s="22" t="n">
        <v>1682</v>
      </c>
      <c r="D18" s="22" t="n">
        <v>3015</v>
      </c>
      <c r="E18" s="22" t="n">
        <v>4497</v>
      </c>
      <c r="F18" s="22" t="n">
        <v>6939</v>
      </c>
      <c r="G18" s="22" t="n">
        <v>10530</v>
      </c>
    </row>
    <row r="19" ht="18" customHeight="1">
      <c r="B19" s="19" t="inlineStr">
        <is>
          <t>EBITDA</t>
        </is>
      </c>
      <c r="C19" s="20" t="n">
        <v>274</v>
      </c>
      <c r="D19" s="20" t="n">
        <v>1163</v>
      </c>
      <c r="E19" s="20" t="n">
        <v>1565</v>
      </c>
      <c r="F19" s="20" t="n">
        <v>3468</v>
      </c>
      <c r="G19" s="20" t="n">
        <v>5300</v>
      </c>
    </row>
    <row r="20" ht="18" customHeight="1">
      <c r="B20" s="21" t="inlineStr">
        <is>
          <t>Net Income</t>
        </is>
      </c>
      <c r="C20" s="23" t="n">
        <v>-161</v>
      </c>
      <c r="D20" s="22" t="n">
        <v>83</v>
      </c>
      <c r="E20" s="22" t="n">
        <v>482</v>
      </c>
      <c r="F20" s="22" t="n">
        <v>1280</v>
      </c>
      <c r="G20" s="22" t="n">
        <v>2300</v>
      </c>
    </row>
    <row r="21" ht="18" customHeight="1">
      <c r="B21" s="19" t="inlineStr">
        <is>
          <t>Free Cash Flow</t>
        </is>
      </c>
      <c r="C21" s="20" t="n">
        <v>509</v>
      </c>
      <c r="D21" s="20" t="n">
        <v>1242</v>
      </c>
      <c r="E21" s="20" t="n">
        <v>1095</v>
      </c>
      <c r="F21" s="20" t="n">
        <v>2536</v>
      </c>
      <c r="G21" s="20" t="n">
        <v>3800</v>
      </c>
    </row>
    <row r="27">
      <c r="B27" s="24" t="inlineStr">
        <is>
          <t>Model built with Python + openpyxl  |  Data: Company filings, analyst estimates  |  Not investment advice</t>
        </is>
      </c>
    </row>
  </sheetData>
  <mergeCells count="7">
    <mergeCell ref="B6:C6"/>
    <mergeCell ref="E6:F6"/>
    <mergeCell ref="B2:F2"/>
    <mergeCell ref="B15:F15"/>
    <mergeCell ref="B3:F3"/>
    <mergeCell ref="C4:E4"/>
    <mergeCell ref="B27:F27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tabColor rgb="002D6A4F"/>
    <outlinePr summaryBelow="1" summaryRight="1"/>
    <pageSetUpPr fitToPage="1"/>
  </sheetPr>
  <dimension ref="B2:J7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4" customWidth="1" min="2" max="2"/>
    <col width="20" customWidth="1" min="3" max="3"/>
    <col width="2" customWidth="1" min="4" max="4"/>
    <col width="30" customWidth="1" min="5" max="5"/>
    <col width="20" customWidth="1" min="6" max="6"/>
    <col width="2" customWidth="1" min="7" max="7"/>
    <col width="22" customWidth="1" min="8" max="8"/>
    <col width="22" customWidth="1" min="9" max="9"/>
    <col width="22" customWidth="1" min="10" max="10"/>
  </cols>
  <sheetData>
    <row r="2" ht="45" customHeight="1">
      <c r="B2" s="25" t="inlineStr">
        <is>
          <t>MELI REVERSE DCF MODEL  —  Implied Growth Rate Analysis</t>
        </is>
      </c>
      <c r="C2" s="2" t="n"/>
      <c r="D2" s="2" t="n"/>
      <c r="E2" s="2" t="n"/>
      <c r="F2" s="2" t="n"/>
      <c r="G2" s="2" t="n"/>
      <c r="H2" s="2" t="n"/>
      <c r="I2" s="2" t="n"/>
      <c r="J2" s="3" t="n"/>
    </row>
    <row r="3" ht="24" customHeight="1">
      <c r="B3" s="26" t="inlineStr">
        <is>
          <t>The model solves for the FCF growth rate the market is pricing into the current stock price.</t>
        </is>
      </c>
      <c r="C3" s="2" t="n"/>
      <c r="D3" s="2" t="n"/>
      <c r="E3" s="2" t="n"/>
      <c r="F3" s="2" t="n"/>
      <c r="G3" s="2" t="n"/>
      <c r="H3" s="2" t="n"/>
      <c r="I3" s="2" t="n"/>
      <c r="J3" s="3" t="n"/>
    </row>
    <row r="4"/>
    <row r="5" ht="20" customHeight="1">
      <c r="B5" s="27" t="inlineStr">
        <is>
          <t>INPUTS  &amp;  ASSUMPTIONS</t>
        </is>
      </c>
      <c r="C5" s="2" t="n"/>
      <c r="D5" s="2" t="n"/>
      <c r="E5" s="2" t="n"/>
      <c r="F5" s="3" t="n"/>
      <c r="H5" s="27" t="inlineStr">
        <is>
          <t>REVERSE DCF LOOKUP TABLE</t>
        </is>
      </c>
      <c r="I5" s="2" t="n"/>
      <c r="J5" s="3" t="n"/>
    </row>
    <row r="6" ht="30" customHeight="1">
      <c r="B6" s="18" t="inlineStr">
        <is>
          <t>Parameter</t>
        </is>
      </c>
      <c r="C6" s="18" t="inlineStr">
        <is>
          <t>Value</t>
        </is>
      </c>
      <c r="E6" s="18" t="inlineStr">
        <is>
          <t>Key Output</t>
        </is>
      </c>
      <c r="F6" s="18" t="inlineStr">
        <is>
          <t>Value</t>
        </is>
      </c>
      <c r="H6" s="28" t="inlineStr">
        <is>
          <t>Each row shows the stock price implied by that growth rate. Market-implied growth = row where Implied Price ≈ Current Price.</t>
        </is>
      </c>
    </row>
    <row r="7" ht="22" customHeight="1">
      <c r="B7" s="8" t="inlineStr">
        <is>
          <t>Current Stock Price ($)</t>
        </is>
      </c>
      <c r="C7" s="29">
        <f>IFERROR(INDEX(STOCKHISTORY("MELI",TODAY()-7,TODAY(),0,0),COUNTA(STOCKHISTORY("MELI",TODAY()-7,TODAY(),0,0)),1),1950)</f>
        <v/>
      </c>
      <c r="D7" s="30" t="inlineStr">
        <is>
          <t>← Auto-updates via STOCKHISTORY (Excel 365)</t>
        </is>
      </c>
      <c r="E7" s="31" t="inlineStr">
        <is>
          <t>■ IMPLIED GROWTH RATE (Market)</t>
        </is>
      </c>
      <c r="F7" s="32">
        <f>IFERROR(INDEX($H$8:$H$68,MATCH(MIN(ABS($I$8:$I$68-$C$7)),ABS($I$8:$I$68-$C$7),0)),"#N/A")</f>
        <v/>
      </c>
      <c r="H7" s="18" t="inlineStr">
        <is>
          <t>Trial FCF Growth</t>
        </is>
      </c>
      <c r="I7" s="18" t="inlineStr">
        <is>
          <t>Implied Price ($)</t>
        </is>
      </c>
      <c r="J7" s="18" t="inlineStr">
        <is>
          <t>vs Current Price</t>
        </is>
      </c>
    </row>
    <row r="8" ht="15" customHeight="1">
      <c r="B8" s="33" t="inlineStr">
        <is>
          <t>Base FCF — FY2024 ($M)</t>
        </is>
      </c>
      <c r="C8" s="34" t="n">
        <v>3800</v>
      </c>
      <c r="D8" s="35" t="inlineStr">
        <is>
          <t>← FY2024 actual/estimate; update each year</t>
        </is>
      </c>
      <c r="E8" s="36" t="inlineStr">
        <is>
          <t xml:space="preserve">  FCF CAGR 2021–2024 (Historical)</t>
        </is>
      </c>
      <c r="F8" s="37">
        <f>(C8/1242)^(1/3)-1</f>
        <v/>
      </c>
      <c r="H8" s="38" t="n">
        <v>0</v>
      </c>
      <c r="I8" s="39">
        <f>IFERROR((SUMPRODUCT($C$8*(1+H8)^ROW(INDIRECT("1:"&amp;$C$15)),(1/(1+$C$13))^ROW(INDIRECT("1:"&amp;$C$15)))+$C$8*(1+H8)^$C$15*(1+$C$14)/($C$13-$C$14)/(1+$C$13)^$C$15-$C$10)/$C$9,"N/A")</f>
        <v/>
      </c>
      <c r="J8" s="40">
        <f>IFERROR((I8-$C$7)/$C$7,"N/A")</f>
        <v/>
      </c>
    </row>
    <row r="9" ht="15" customHeight="1">
      <c r="B9" s="8" t="inlineStr">
        <is>
          <t>Shares Outstanding (M)</t>
        </is>
      </c>
      <c r="C9" s="41" t="n">
        <v>51</v>
      </c>
      <c r="D9" s="30" t="inlineStr">
        <is>
          <t>← Diluted shares including RSUs</t>
        </is>
      </c>
      <c r="E9" s="31" t="inlineStr">
        <is>
          <t>■ INTRINSIC VALUE — Your View</t>
        </is>
      </c>
      <c r="F9" s="12">
        <f>IFERROR((SUMPRODUCT($C$8*(1+$C$16)^ROW(INDIRECT("1:"&amp;$C$15)),(1/(1+$C$13))^ROW(INDIRECT("1:"&amp;$C$15)))+$C$8*(1+$C$16)^$C$15*(1+$C$14)/($C$13-$C$14)/(1+$C$13)^$C$15-$C$10)/$C$9,"Check WACC&gt;TermG")</f>
        <v/>
      </c>
      <c r="H9" s="42" t="n">
        <v>0.01</v>
      </c>
      <c r="I9" s="43">
        <f>IFERROR((SUMPRODUCT($C$8*(1+H9)^ROW(INDIRECT("1:"&amp;$C$15)),(1/(1+$C$13))^ROW(INDIRECT("1:"&amp;$C$15)))+$C$8*(1+H9)^$C$15*(1+$C$14)/($C$13-$C$14)/(1+$C$13)^$C$15-$C$10)/$C$9,"N/A")</f>
        <v/>
      </c>
      <c r="J9" s="44">
        <f>IFERROR((I9-$C$7)/$C$7,"N/A")</f>
        <v/>
      </c>
    </row>
    <row r="10" ht="15" customHeight="1">
      <c r="B10" s="33" t="inlineStr">
        <is>
          <t>Net Debt ($M)</t>
        </is>
      </c>
      <c r="C10" s="34" t="n">
        <v>2000</v>
      </c>
      <c r="D10" s="35" t="inlineStr">
        <is>
          <t>← Total debt minus cash &amp; equivalents</t>
        </is>
      </c>
      <c r="E10" s="36" t="inlineStr">
        <is>
          <t xml:space="preserve">  Premium / (Discount) to Market</t>
        </is>
      </c>
      <c r="F10" s="45">
        <f>IFERROR((F9-C7)/C7,0)</f>
        <v/>
      </c>
      <c r="H10" s="38" t="n">
        <v>0.02</v>
      </c>
      <c r="I10" s="39">
        <f>IFERROR((SUMPRODUCT($C$8*(1+H10)^ROW(INDIRECT("1:"&amp;$C$15)),(1/(1+$C$13))^ROW(INDIRECT("1:"&amp;$C$15)))+$C$8*(1+H10)^$C$15*(1+$C$14)/($C$13-$C$14)/(1+$C$13)^$C$15-$C$10)/$C$9,"N/A")</f>
        <v/>
      </c>
      <c r="J10" s="40">
        <f>IFERROR((I10-$C$7)/$C$7,"N/A")</f>
        <v/>
      </c>
    </row>
    <row r="11" ht="15" customHeight="1">
      <c r="E11" s="36" t="inlineStr">
        <is>
          <t xml:space="preserve">  EV at Your Target Growth ($M)</t>
        </is>
      </c>
      <c r="F11" s="46">
        <f>IFERROR(SUMPRODUCT($C$8*(1+$C$16)^ROW(INDIRECT("1:"&amp;$C$15)),(1/(1+$C$13))^ROW(INDIRECT("1:"&amp;$C$15)))+$C$8*(1+$C$16)^$C$15*(1+$C$14)/($C$13-$C$14)/(1+$C$13)^$C$15,"N/A")</f>
        <v/>
      </c>
      <c r="H11" s="42" t="n">
        <v>0.03</v>
      </c>
      <c r="I11" s="43">
        <f>IFERROR((SUMPRODUCT($C$8*(1+H11)^ROW(INDIRECT("1:"&amp;$C$15)),(1/(1+$C$13))^ROW(INDIRECT("1:"&amp;$C$15)))+$C$8*(1+H11)^$C$15*(1+$C$14)/($C$13-$C$14)/(1+$C$13)^$C$15-$C$10)/$C$9,"N/A")</f>
        <v/>
      </c>
      <c r="J11" s="44">
        <f>IFERROR((I11-$C$7)/$C$7,"N/A")</f>
        <v/>
      </c>
    </row>
    <row r="12" ht="15" customHeight="1">
      <c r="B12" s="47" t="inlineStr">
        <is>
          <t>DCF ASSUMPTIONS</t>
        </is>
      </c>
      <c r="C12" s="2" t="n"/>
      <c r="D12" s="2" t="n"/>
      <c r="E12" s="2" t="n"/>
      <c r="F12" s="3" t="n"/>
      <c r="H12" s="38" t="n">
        <v>0.04</v>
      </c>
      <c r="I12" s="39">
        <f>IFERROR((SUMPRODUCT($C$8*(1+H12)^ROW(INDIRECT("1:"&amp;$C$15)),(1/(1+$C$13))^ROW(INDIRECT("1:"&amp;$C$15)))+$C$8*(1+H12)^$C$15*(1+$C$14)/($C$13-$C$14)/(1+$C$13)^$C$15-$C$10)/$C$9,"N/A")</f>
        <v/>
      </c>
      <c r="J12" s="40">
        <f>IFERROR((I12-$C$7)/$C$7,"N/A")</f>
        <v/>
      </c>
    </row>
    <row r="13" ht="15" customHeight="1">
      <c r="B13" s="8" t="inlineStr">
        <is>
          <t>WACC</t>
        </is>
      </c>
      <c r="C13" s="48">
        <f>'WACC'!C28</f>
        <v/>
      </c>
      <c r="D13" s="30" t="inlineStr">
        <is>
          <t>← From WACC sheet (auto-linked)</t>
        </is>
      </c>
      <c r="H13" s="42" t="n">
        <v>0.05</v>
      </c>
      <c r="I13" s="43">
        <f>IFERROR((SUMPRODUCT($C$8*(1+H13)^ROW(INDIRECT("1:"&amp;$C$15)),(1/(1+$C$13))^ROW(INDIRECT("1:"&amp;$C$15)))+$C$8*(1+H13)^$C$15*(1+$C$14)/($C$13-$C$14)/(1+$C$13)^$C$15-$C$10)/$C$9,"N/A")</f>
        <v/>
      </c>
      <c r="J13" s="44">
        <f>IFERROR((I13-$C$7)/$C$7,"N/A")</f>
        <v/>
      </c>
    </row>
    <row r="14" ht="15" customHeight="1">
      <c r="B14" s="33" t="inlineStr">
        <is>
          <t>Terminal Growth Rate</t>
        </is>
      </c>
      <c r="C14" s="49" t="n">
        <v>0.04</v>
      </c>
      <c r="D14" s="35" t="inlineStr">
        <is>
          <t>← Long-run FCF growth (4% = LatAm GDP)</t>
        </is>
      </c>
      <c r="H14" s="38" t="n">
        <v>0.06</v>
      </c>
      <c r="I14" s="39">
        <f>IFERROR((SUMPRODUCT($C$8*(1+H14)^ROW(INDIRECT("1:"&amp;$C$15)),(1/(1+$C$13))^ROW(INDIRECT("1:"&amp;$C$15)))+$C$8*(1+H14)^$C$15*(1+$C$14)/($C$13-$C$14)/(1+$C$13)^$C$15-$C$10)/$C$9,"N/A")</f>
        <v/>
      </c>
      <c r="J14" s="40">
        <f>IFERROR((I14-$C$7)/$C$7,"N/A")</f>
        <v/>
      </c>
    </row>
    <row r="15" ht="15" customHeight="1">
      <c r="B15" s="8" t="inlineStr">
        <is>
          <t>Projection Years</t>
        </is>
      </c>
      <c r="C15" s="50" t="n">
        <v>10</v>
      </c>
      <c r="D15" s="30" t="inlineStr">
        <is>
          <t>← Explicit forecast horizon</t>
        </is>
      </c>
      <c r="H15" s="42" t="n">
        <v>0.07000000000000001</v>
      </c>
      <c r="I15" s="43">
        <f>IFERROR((SUMPRODUCT($C$8*(1+H15)^ROW(INDIRECT("1:"&amp;$C$15)),(1/(1+$C$13))^ROW(INDIRECT("1:"&amp;$C$15)))+$C$8*(1+H15)^$C$15*(1+$C$14)/($C$13-$C$14)/(1+$C$13)^$C$15-$C$10)/$C$9,"N/A")</f>
        <v/>
      </c>
      <c r="J15" s="44">
        <f>IFERROR((I15-$C$7)/$C$7,"N/A")</f>
        <v/>
      </c>
    </row>
    <row r="16" ht="15" customHeight="1">
      <c r="B16" s="33" t="inlineStr">
        <is>
          <t>Your Target Growth Rate</t>
        </is>
      </c>
      <c r="C16" s="49" t="n">
        <v>0.25</v>
      </c>
      <c r="D16" s="35" t="inlineStr">
        <is>
          <t>← YOUR assumption → drives Forward DCF</t>
        </is>
      </c>
      <c r="H16" s="38" t="n">
        <v>0.08</v>
      </c>
      <c r="I16" s="39">
        <f>IFERROR((SUMPRODUCT($C$8*(1+H16)^ROW(INDIRECT("1:"&amp;$C$15)),(1/(1+$C$13))^ROW(INDIRECT("1:"&amp;$C$15)))+$C$8*(1+H16)^$C$15*(1+$C$14)/($C$13-$C$14)/(1+$C$13)^$C$15-$C$10)/$C$9,"N/A")</f>
        <v/>
      </c>
      <c r="J16" s="40">
        <f>IFERROR((I16-$C$7)/$C$7,"N/A")</f>
        <v/>
      </c>
    </row>
    <row r="17" ht="15" customHeight="1">
      <c r="H17" s="42" t="n">
        <v>0.09</v>
      </c>
      <c r="I17" s="43">
        <f>IFERROR((SUMPRODUCT($C$8*(1+H17)^ROW(INDIRECT("1:"&amp;$C$15)),(1/(1+$C$13))^ROW(INDIRECT("1:"&amp;$C$15)))+$C$8*(1+H17)^$C$15*(1+$C$14)/($C$13-$C$14)/(1+$C$13)^$C$15-$C$10)/$C$9,"N/A")</f>
        <v/>
      </c>
      <c r="J17" s="44">
        <f>IFERROR((I17-$C$7)/$C$7,"N/A")</f>
        <v/>
      </c>
    </row>
    <row r="18" ht="15" customHeight="1">
      <c r="H18" s="38" t="n">
        <v>0.1</v>
      </c>
      <c r="I18" s="39">
        <f>IFERROR((SUMPRODUCT($C$8*(1+H18)^ROW(INDIRECT("1:"&amp;$C$15)),(1/(1+$C$13))^ROW(INDIRECT("1:"&amp;$C$15)))+$C$8*(1+H18)^$C$15*(1+$C$14)/($C$13-$C$14)/(1+$C$13)^$C$15-$C$10)/$C$9,"N/A")</f>
        <v/>
      </c>
      <c r="J18" s="40">
        <f>IFERROR((I18-$C$7)/$C$7,"N/A")</f>
        <v/>
      </c>
    </row>
    <row r="19" ht="15" customHeight="1">
      <c r="C19" s="51">
        <f>F7</f>
        <v/>
      </c>
      <c r="H19" s="42" t="n">
        <v>0.11</v>
      </c>
      <c r="I19" s="43">
        <f>IFERROR((SUMPRODUCT($C$8*(1+H19)^ROW(INDIRECT("1:"&amp;$C$15)),(1/(1+$C$13))^ROW(INDIRECT("1:"&amp;$C$15)))+$C$8*(1+H19)^$C$15*(1+$C$14)/($C$13-$C$14)/(1+$C$13)^$C$15-$C$10)/$C$9,"N/A")</f>
        <v/>
      </c>
      <c r="J19" s="44">
        <f>IFERROR((I19-$C$7)/$C$7,"N/A")</f>
        <v/>
      </c>
    </row>
    <row r="20" ht="15" customHeight="1">
      <c r="H20" s="38" t="n">
        <v>0.12</v>
      </c>
      <c r="I20" s="39">
        <f>IFERROR((SUMPRODUCT($C$8*(1+H20)^ROW(INDIRECT("1:"&amp;$C$15)),(1/(1+$C$13))^ROW(INDIRECT("1:"&amp;$C$15)))+$C$8*(1+H20)^$C$15*(1+$C$14)/($C$13-$C$14)/(1+$C$13)^$C$15-$C$10)/$C$9,"N/A")</f>
        <v/>
      </c>
      <c r="J20" s="40">
        <f>IFERROR((I20-$C$7)/$C$7,"N/A")</f>
        <v/>
      </c>
    </row>
    <row r="21" ht="15" customHeight="1">
      <c r="H21" s="42" t="n">
        <v>0.13</v>
      </c>
      <c r="I21" s="43">
        <f>IFERROR((SUMPRODUCT($C$8*(1+H21)^ROW(INDIRECT("1:"&amp;$C$15)),(1/(1+$C$13))^ROW(INDIRECT("1:"&amp;$C$15)))+$C$8*(1+H21)^$C$15*(1+$C$14)/($C$13-$C$14)/(1+$C$13)^$C$15-$C$10)/$C$9,"N/A")</f>
        <v/>
      </c>
      <c r="J21" s="44">
        <f>IFERROR((I21-$C$7)/$C$7,"N/A")</f>
        <v/>
      </c>
    </row>
    <row r="22" ht="15" customHeight="1">
      <c r="H22" s="38" t="n">
        <v>0.14</v>
      </c>
      <c r="I22" s="39">
        <f>IFERROR((SUMPRODUCT($C$8*(1+H22)^ROW(INDIRECT("1:"&amp;$C$15)),(1/(1+$C$13))^ROW(INDIRECT("1:"&amp;$C$15)))+$C$8*(1+H22)^$C$15*(1+$C$14)/($C$13-$C$14)/(1+$C$13)^$C$15-$C$10)/$C$9,"N/A")</f>
        <v/>
      </c>
      <c r="J22" s="40">
        <f>IFERROR((I22-$C$7)/$C$7,"N/A")</f>
        <v/>
      </c>
    </row>
    <row r="23" ht="15" customHeight="1">
      <c r="H23" s="42" t="n">
        <v>0.15</v>
      </c>
      <c r="I23" s="43">
        <f>IFERROR((SUMPRODUCT($C$8*(1+H23)^ROW(INDIRECT("1:"&amp;$C$15)),(1/(1+$C$13))^ROW(INDIRECT("1:"&amp;$C$15)))+$C$8*(1+H23)^$C$15*(1+$C$14)/($C$13-$C$14)/(1+$C$13)^$C$15-$C$10)/$C$9,"N/A")</f>
        <v/>
      </c>
      <c r="J23" s="44">
        <f>IFERROR((I23-$C$7)/$C$7,"N/A")</f>
        <v/>
      </c>
    </row>
    <row r="24" ht="15" customHeight="1">
      <c r="C24" s="51">
        <f>F9</f>
        <v/>
      </c>
      <c r="H24" s="38" t="n">
        <v>0.16</v>
      </c>
      <c r="I24" s="39">
        <f>IFERROR((SUMPRODUCT($C$8*(1+H24)^ROW(INDIRECT("1:"&amp;$C$15)),(1/(1+$C$13))^ROW(INDIRECT("1:"&amp;$C$15)))+$C$8*(1+H24)^$C$15*(1+$C$14)/($C$13-$C$14)/(1+$C$13)^$C$15-$C$10)/$C$9,"N/A")</f>
        <v/>
      </c>
      <c r="J24" s="40">
        <f>IFERROR((I24-$C$7)/$C$7,"N/A")</f>
        <v/>
      </c>
    </row>
    <row r="25" ht="15" customHeight="1">
      <c r="C25" s="51">
        <f>F10</f>
        <v/>
      </c>
      <c r="H25" s="42" t="n">
        <v>0.17</v>
      </c>
      <c r="I25" s="43">
        <f>IFERROR((SUMPRODUCT($C$8*(1+H25)^ROW(INDIRECT("1:"&amp;$C$15)),(1/(1+$C$13))^ROW(INDIRECT("1:"&amp;$C$15)))+$C$8*(1+H25)^$C$15*(1+$C$14)/($C$13-$C$14)/(1+$C$13)^$C$15-$C$10)/$C$9,"N/A")</f>
        <v/>
      </c>
      <c r="J25" s="44">
        <f>IFERROR((I25-$C$7)/$C$7,"N/A")</f>
        <v/>
      </c>
    </row>
    <row r="26" ht="15" customHeight="1">
      <c r="H26" s="38" t="n">
        <v>0.18</v>
      </c>
      <c r="I26" s="39">
        <f>IFERROR((SUMPRODUCT($C$8*(1+H26)^ROW(INDIRECT("1:"&amp;$C$15)),(1/(1+$C$13))^ROW(INDIRECT("1:"&amp;$C$15)))+$C$8*(1+H26)^$C$15*(1+$C$14)/($C$13-$C$14)/(1+$C$13)^$C$15-$C$10)/$C$9,"N/A")</f>
        <v/>
      </c>
      <c r="J26" s="40">
        <f>IFERROR((I26-$C$7)/$C$7,"N/A")</f>
        <v/>
      </c>
    </row>
    <row r="27" ht="15" customHeight="1">
      <c r="H27" s="42" t="n">
        <v>0.19</v>
      </c>
      <c r="I27" s="43">
        <f>IFERROR((SUMPRODUCT($C$8*(1+H27)^ROW(INDIRECT("1:"&amp;$C$15)),(1/(1+$C$13))^ROW(INDIRECT("1:"&amp;$C$15)))+$C$8*(1+H27)^$C$15*(1+$C$14)/($C$13-$C$14)/(1+$C$13)^$C$15-$C$10)/$C$9,"N/A")</f>
        <v/>
      </c>
      <c r="J27" s="44">
        <f>IFERROR((I27-$C$7)/$C$7,"N/A")</f>
        <v/>
      </c>
    </row>
    <row r="28" ht="15" customHeight="1">
      <c r="B28" s="27" t="inlineStr">
        <is>
          <t>FCF PROJECTION  —  At Market-Implied Growth Rate</t>
        </is>
      </c>
      <c r="C28" s="2" t="n"/>
      <c r="D28" s="2" t="n"/>
      <c r="E28" s="2" t="n"/>
      <c r="F28" s="3" t="n"/>
      <c r="H28" s="38" t="n">
        <v>0.2</v>
      </c>
      <c r="I28" s="39">
        <f>IFERROR((SUMPRODUCT($C$8*(1+H28)^ROW(INDIRECT("1:"&amp;$C$15)),(1/(1+$C$13))^ROW(INDIRECT("1:"&amp;$C$15)))+$C$8*(1+H28)^$C$15*(1+$C$14)/($C$13-$C$14)/(1+$C$13)^$C$15-$C$10)/$C$9,"N/A")</f>
        <v/>
      </c>
      <c r="J28" s="40">
        <f>IFERROR((I28-$C$7)/$C$7,"N/A")</f>
        <v/>
      </c>
    </row>
    <row r="29" ht="15" customHeight="1">
      <c r="B29" s="18" t="inlineStr">
        <is>
          <t>Year</t>
        </is>
      </c>
      <c r="C29" s="18" t="inlineStr">
        <is>
          <t>Calendar</t>
        </is>
      </c>
      <c r="D29" s="18" t="inlineStr">
        <is>
          <t>FCF ($M)</t>
        </is>
      </c>
      <c r="E29" s="18" t="inlineStr">
        <is>
          <t>YoY Growth</t>
        </is>
      </c>
      <c r="F29" s="18" t="inlineStr">
        <is>
          <t>PV Factor</t>
        </is>
      </c>
      <c r="G29" s="18" t="inlineStr">
        <is>
          <t>PV of FCF ($M)</t>
        </is>
      </c>
      <c r="H29" s="42" t="n">
        <v>0.21</v>
      </c>
      <c r="I29" s="43">
        <f>IFERROR((SUMPRODUCT($C$8*(1+H29)^ROW(INDIRECT("1:"&amp;$C$15)),(1/(1+$C$13))^ROW(INDIRECT("1:"&amp;$C$15)))+$C$8*(1+H29)^$C$15*(1+$C$14)/($C$13-$C$14)/(1+$C$13)^$C$15-$C$10)/$C$9,"N/A")</f>
        <v/>
      </c>
      <c r="J29" s="44">
        <f>IFERROR((I29-$C$7)/$C$7,"N/A")</f>
        <v/>
      </c>
    </row>
    <row r="30" ht="15" customHeight="1">
      <c r="B30" s="52" t="inlineStr">
        <is>
          <t>Year 1</t>
        </is>
      </c>
      <c r="C30" s="53">
        <f>2024+1</f>
        <v/>
      </c>
      <c r="D30" s="20">
        <f>$C$8*(1+$F$7)^1</f>
        <v/>
      </c>
      <c r="E30" s="54">
        <f>$F$7</f>
        <v/>
      </c>
      <c r="F30" s="55">
        <f>1/(1+$C$13)^1</f>
        <v/>
      </c>
      <c r="G30" s="20">
        <f>D30*F30</f>
        <v/>
      </c>
      <c r="H30" s="38" t="n">
        <v>0.22</v>
      </c>
      <c r="I30" s="39">
        <f>IFERROR((SUMPRODUCT($C$8*(1+H30)^ROW(INDIRECT("1:"&amp;$C$15)),(1/(1+$C$13))^ROW(INDIRECT("1:"&amp;$C$15)))+$C$8*(1+H30)^$C$15*(1+$C$14)/($C$13-$C$14)/(1+$C$13)^$C$15-$C$10)/$C$9,"N/A")</f>
        <v/>
      </c>
      <c r="J30" s="40">
        <f>IFERROR((I30-$C$7)/$C$7,"N/A")</f>
        <v/>
      </c>
    </row>
    <row r="31" ht="15" customHeight="1">
      <c r="B31" s="56" t="inlineStr">
        <is>
          <t>Year 2</t>
        </is>
      </c>
      <c r="C31" s="57">
        <f>2024+2</f>
        <v/>
      </c>
      <c r="D31" s="22">
        <f>$C$8*(1+$F$7)^2</f>
        <v/>
      </c>
      <c r="E31" s="58">
        <f>$F$7</f>
        <v/>
      </c>
      <c r="F31" s="59">
        <f>1/(1+$C$13)^2</f>
        <v/>
      </c>
      <c r="G31" s="22">
        <f>D31*F31</f>
        <v/>
      </c>
      <c r="H31" s="42" t="n">
        <v>0.23</v>
      </c>
      <c r="I31" s="43">
        <f>IFERROR((SUMPRODUCT($C$8*(1+H31)^ROW(INDIRECT("1:"&amp;$C$15)),(1/(1+$C$13))^ROW(INDIRECT("1:"&amp;$C$15)))+$C$8*(1+H31)^$C$15*(1+$C$14)/($C$13-$C$14)/(1+$C$13)^$C$15-$C$10)/$C$9,"N/A")</f>
        <v/>
      </c>
      <c r="J31" s="44">
        <f>IFERROR((I31-$C$7)/$C$7,"N/A")</f>
        <v/>
      </c>
    </row>
    <row r="32" ht="15" customHeight="1">
      <c r="B32" s="52" t="inlineStr">
        <is>
          <t>Year 3</t>
        </is>
      </c>
      <c r="C32" s="53">
        <f>2024+3</f>
        <v/>
      </c>
      <c r="D32" s="20">
        <f>$C$8*(1+$F$7)^3</f>
        <v/>
      </c>
      <c r="E32" s="54">
        <f>$F$7</f>
        <v/>
      </c>
      <c r="F32" s="55">
        <f>1/(1+$C$13)^3</f>
        <v/>
      </c>
      <c r="G32" s="20">
        <f>D32*F32</f>
        <v/>
      </c>
      <c r="H32" s="38" t="n">
        <v>0.24</v>
      </c>
      <c r="I32" s="39">
        <f>IFERROR((SUMPRODUCT($C$8*(1+H32)^ROW(INDIRECT("1:"&amp;$C$15)),(1/(1+$C$13))^ROW(INDIRECT("1:"&amp;$C$15)))+$C$8*(1+H32)^$C$15*(1+$C$14)/($C$13-$C$14)/(1+$C$13)^$C$15-$C$10)/$C$9,"N/A")</f>
        <v/>
      </c>
      <c r="J32" s="40">
        <f>IFERROR((I32-$C$7)/$C$7,"N/A")</f>
        <v/>
      </c>
    </row>
    <row r="33" ht="15" customHeight="1">
      <c r="B33" s="56" t="inlineStr">
        <is>
          <t>Year 4</t>
        </is>
      </c>
      <c r="C33" s="57">
        <f>2024+4</f>
        <v/>
      </c>
      <c r="D33" s="22">
        <f>$C$8*(1+$F$7)^4</f>
        <v/>
      </c>
      <c r="E33" s="58">
        <f>$F$7</f>
        <v/>
      </c>
      <c r="F33" s="59">
        <f>1/(1+$C$13)^4</f>
        <v/>
      </c>
      <c r="G33" s="22">
        <f>D33*F33</f>
        <v/>
      </c>
      <c r="H33" s="42" t="n">
        <v>0.25</v>
      </c>
      <c r="I33" s="43">
        <f>IFERROR((SUMPRODUCT($C$8*(1+H33)^ROW(INDIRECT("1:"&amp;$C$15)),(1/(1+$C$13))^ROW(INDIRECT("1:"&amp;$C$15)))+$C$8*(1+H33)^$C$15*(1+$C$14)/($C$13-$C$14)/(1+$C$13)^$C$15-$C$10)/$C$9,"N/A")</f>
        <v/>
      </c>
      <c r="J33" s="44">
        <f>IFERROR((I33-$C$7)/$C$7,"N/A")</f>
        <v/>
      </c>
    </row>
    <row r="34" ht="15" customHeight="1">
      <c r="B34" s="52" t="inlineStr">
        <is>
          <t>Year 5</t>
        </is>
      </c>
      <c r="C34" s="53">
        <f>2024+5</f>
        <v/>
      </c>
      <c r="D34" s="20">
        <f>$C$8*(1+$F$7)^5</f>
        <v/>
      </c>
      <c r="E34" s="54">
        <f>$F$7</f>
        <v/>
      </c>
      <c r="F34" s="55">
        <f>1/(1+$C$13)^5</f>
        <v/>
      </c>
      <c r="G34" s="20">
        <f>D34*F34</f>
        <v/>
      </c>
      <c r="H34" s="38" t="n">
        <v>0.26</v>
      </c>
      <c r="I34" s="39">
        <f>IFERROR((SUMPRODUCT($C$8*(1+H34)^ROW(INDIRECT("1:"&amp;$C$15)),(1/(1+$C$13))^ROW(INDIRECT("1:"&amp;$C$15)))+$C$8*(1+H34)^$C$15*(1+$C$14)/($C$13-$C$14)/(1+$C$13)^$C$15-$C$10)/$C$9,"N/A")</f>
        <v/>
      </c>
      <c r="J34" s="40">
        <f>IFERROR((I34-$C$7)/$C$7,"N/A")</f>
        <v/>
      </c>
    </row>
    <row r="35" ht="15" customHeight="1">
      <c r="B35" s="56" t="inlineStr">
        <is>
          <t>Year 6</t>
        </is>
      </c>
      <c r="C35" s="57">
        <f>2024+6</f>
        <v/>
      </c>
      <c r="D35" s="22">
        <f>$C$8*(1+$F$7)^6</f>
        <v/>
      </c>
      <c r="E35" s="58">
        <f>$F$7</f>
        <v/>
      </c>
      <c r="F35" s="59">
        <f>1/(1+$C$13)^6</f>
        <v/>
      </c>
      <c r="G35" s="22">
        <f>D35*F35</f>
        <v/>
      </c>
      <c r="H35" s="42" t="n">
        <v>0.27</v>
      </c>
      <c r="I35" s="43">
        <f>IFERROR((SUMPRODUCT($C$8*(1+H35)^ROW(INDIRECT("1:"&amp;$C$15)),(1/(1+$C$13))^ROW(INDIRECT("1:"&amp;$C$15)))+$C$8*(1+H35)^$C$15*(1+$C$14)/($C$13-$C$14)/(1+$C$13)^$C$15-$C$10)/$C$9,"N/A")</f>
        <v/>
      </c>
      <c r="J35" s="44">
        <f>IFERROR((I35-$C$7)/$C$7,"N/A")</f>
        <v/>
      </c>
    </row>
    <row r="36" ht="15" customHeight="1">
      <c r="B36" s="52" t="inlineStr">
        <is>
          <t>Year 7</t>
        </is>
      </c>
      <c r="C36" s="53">
        <f>2024+7</f>
        <v/>
      </c>
      <c r="D36" s="20">
        <f>$C$8*(1+$F$7)^7</f>
        <v/>
      </c>
      <c r="E36" s="54">
        <f>$F$7</f>
        <v/>
      </c>
      <c r="F36" s="55">
        <f>1/(1+$C$13)^7</f>
        <v/>
      </c>
      <c r="G36" s="20">
        <f>D36*F36</f>
        <v/>
      </c>
      <c r="H36" s="38" t="n">
        <v>0.28</v>
      </c>
      <c r="I36" s="39">
        <f>IFERROR((SUMPRODUCT($C$8*(1+H36)^ROW(INDIRECT("1:"&amp;$C$15)),(1/(1+$C$13))^ROW(INDIRECT("1:"&amp;$C$15)))+$C$8*(1+H36)^$C$15*(1+$C$14)/($C$13-$C$14)/(1+$C$13)^$C$15-$C$10)/$C$9,"N/A")</f>
        <v/>
      </c>
      <c r="J36" s="40">
        <f>IFERROR((I36-$C$7)/$C$7,"N/A")</f>
        <v/>
      </c>
    </row>
    <row r="37" ht="15" customHeight="1">
      <c r="B37" s="56" t="inlineStr">
        <is>
          <t>Year 8</t>
        </is>
      </c>
      <c r="C37" s="57">
        <f>2024+8</f>
        <v/>
      </c>
      <c r="D37" s="22">
        <f>$C$8*(1+$F$7)^8</f>
        <v/>
      </c>
      <c r="E37" s="58">
        <f>$F$7</f>
        <v/>
      </c>
      <c r="F37" s="59">
        <f>1/(1+$C$13)^8</f>
        <v/>
      </c>
      <c r="G37" s="22">
        <f>D37*F37</f>
        <v/>
      </c>
      <c r="H37" s="42" t="n">
        <v>0.29</v>
      </c>
      <c r="I37" s="43">
        <f>IFERROR((SUMPRODUCT($C$8*(1+H37)^ROW(INDIRECT("1:"&amp;$C$15)),(1/(1+$C$13))^ROW(INDIRECT("1:"&amp;$C$15)))+$C$8*(1+H37)^$C$15*(1+$C$14)/($C$13-$C$14)/(1+$C$13)^$C$15-$C$10)/$C$9,"N/A")</f>
        <v/>
      </c>
      <c r="J37" s="44">
        <f>IFERROR((I37-$C$7)/$C$7,"N/A")</f>
        <v/>
      </c>
    </row>
    <row r="38" ht="15" customHeight="1">
      <c r="B38" s="52" t="inlineStr">
        <is>
          <t>Year 9</t>
        </is>
      </c>
      <c r="C38" s="53">
        <f>2024+9</f>
        <v/>
      </c>
      <c r="D38" s="20">
        <f>$C$8*(1+$F$7)^9</f>
        <v/>
      </c>
      <c r="E38" s="54">
        <f>$F$7</f>
        <v/>
      </c>
      <c r="F38" s="55">
        <f>1/(1+$C$13)^9</f>
        <v/>
      </c>
      <c r="G38" s="20">
        <f>D38*F38</f>
        <v/>
      </c>
      <c r="H38" s="38" t="n">
        <v>0.3</v>
      </c>
      <c r="I38" s="39">
        <f>IFERROR((SUMPRODUCT($C$8*(1+H38)^ROW(INDIRECT("1:"&amp;$C$15)),(1/(1+$C$13))^ROW(INDIRECT("1:"&amp;$C$15)))+$C$8*(1+H38)^$C$15*(1+$C$14)/($C$13-$C$14)/(1+$C$13)^$C$15-$C$10)/$C$9,"N/A")</f>
        <v/>
      </c>
      <c r="J38" s="40">
        <f>IFERROR((I38-$C$7)/$C$7,"N/A")</f>
        <v/>
      </c>
    </row>
    <row r="39" ht="15" customHeight="1">
      <c r="B39" s="56" t="inlineStr">
        <is>
          <t>Year 10</t>
        </is>
      </c>
      <c r="C39" s="57">
        <f>2024+10</f>
        <v/>
      </c>
      <c r="D39" s="22">
        <f>$C$8*(1+$F$7)^10</f>
        <v/>
      </c>
      <c r="E39" s="58">
        <f>$F$7</f>
        <v/>
      </c>
      <c r="F39" s="59">
        <f>1/(1+$C$13)^10</f>
        <v/>
      </c>
      <c r="G39" s="22">
        <f>D39*F39</f>
        <v/>
      </c>
      <c r="H39" s="42" t="n">
        <v>0.31</v>
      </c>
      <c r="I39" s="43">
        <f>IFERROR((SUMPRODUCT($C$8*(1+H39)^ROW(INDIRECT("1:"&amp;$C$15)),(1/(1+$C$13))^ROW(INDIRECT("1:"&amp;$C$15)))+$C$8*(1+H39)^$C$15*(1+$C$14)/($C$13-$C$14)/(1+$C$13)^$C$15-$C$10)/$C$9,"N/A")</f>
        <v/>
      </c>
      <c r="J39" s="44">
        <f>IFERROR((I39-$C$7)/$C$7,"N/A")</f>
        <v/>
      </c>
    </row>
    <row r="40" ht="15" customHeight="1">
      <c r="H40" s="38" t="n">
        <v>0.32</v>
      </c>
      <c r="I40" s="39">
        <f>IFERROR((SUMPRODUCT($C$8*(1+H40)^ROW(INDIRECT("1:"&amp;$C$15)),(1/(1+$C$13))^ROW(INDIRECT("1:"&amp;$C$15)))+$C$8*(1+H40)^$C$15*(1+$C$14)/($C$13-$C$14)/(1+$C$13)^$C$15-$C$10)/$C$9,"N/A")</f>
        <v/>
      </c>
      <c r="J40" s="40">
        <f>IFERROR((I40-$C$7)/$C$7,"N/A")</f>
        <v/>
      </c>
    </row>
    <row r="41" ht="15" customHeight="1">
      <c r="B41" s="19" t="inlineStr">
        <is>
          <t>Sum of PV of FCFs ($M)</t>
        </is>
      </c>
      <c r="C41" s="15">
        <f>SUM(G30:G39)</f>
        <v/>
      </c>
      <c r="H41" s="42" t="n">
        <v>0.33</v>
      </c>
      <c r="I41" s="43">
        <f>IFERROR((SUMPRODUCT($C$8*(1+H41)^ROW(INDIRECT("1:"&amp;$C$15)),(1/(1+$C$13))^ROW(INDIRECT("1:"&amp;$C$15)))+$C$8*(1+H41)^$C$15*(1+$C$14)/($C$13-$C$14)/(1+$C$13)^$C$15-$C$10)/$C$9,"N/A")</f>
        <v/>
      </c>
      <c r="J41" s="44">
        <f>IFERROR((I41-$C$7)/$C$7,"N/A")</f>
        <v/>
      </c>
    </row>
    <row r="42" ht="15" customHeight="1">
      <c r="B42" s="19" t="inlineStr">
        <is>
          <t>Terminal Value — Undiscounted ($M)</t>
        </is>
      </c>
      <c r="C42" s="15">
        <f>IFERROR($C$8*(1+$F$7)^$C$15*(1+$C$14)/($C$13-$C$14),"Check WACC&gt;TermG")</f>
        <v/>
      </c>
      <c r="H42" s="38" t="n">
        <v>0.34</v>
      </c>
      <c r="I42" s="39">
        <f>IFERROR((SUMPRODUCT($C$8*(1+H42)^ROW(INDIRECT("1:"&amp;$C$15)),(1/(1+$C$13))^ROW(INDIRECT("1:"&amp;$C$15)))+$C$8*(1+H42)^$C$15*(1+$C$14)/($C$13-$C$14)/(1+$C$13)^$C$15-$C$10)/$C$9,"N/A")</f>
        <v/>
      </c>
      <c r="J42" s="40">
        <f>IFERROR((I42-$C$7)/$C$7,"N/A")</f>
        <v/>
      </c>
    </row>
    <row r="43" ht="15" customHeight="1">
      <c r="B43" s="19" t="inlineStr">
        <is>
          <t>PV of Terminal Value ($M)</t>
        </is>
      </c>
      <c r="C43" s="15">
        <f>IFERROR(C42/(1+$C$13)^$C$15,0)</f>
        <v/>
      </c>
      <c r="H43" s="42" t="n">
        <v>0.35</v>
      </c>
      <c r="I43" s="43">
        <f>IFERROR((SUMPRODUCT($C$8*(1+H43)^ROW(INDIRECT("1:"&amp;$C$15)),(1/(1+$C$13))^ROW(INDIRECT("1:"&amp;$C$15)))+$C$8*(1+H43)^$C$15*(1+$C$14)/($C$13-$C$14)/(1+$C$13)^$C$15-$C$10)/$C$9,"N/A")</f>
        <v/>
      </c>
      <c r="J43" s="44">
        <f>IFERROR((I43-$C$7)/$C$7,"N/A")</f>
        <v/>
      </c>
    </row>
    <row r="44" ht="15" customHeight="1">
      <c r="B44" s="19" t="inlineStr">
        <is>
          <t>Enterprise Value ($M)</t>
        </is>
      </c>
      <c r="C44" s="15">
        <f>C41+C43</f>
        <v/>
      </c>
      <c r="H44" s="38" t="n">
        <v>0.36</v>
      </c>
      <c r="I44" s="39">
        <f>IFERROR((SUMPRODUCT($C$8*(1+H44)^ROW(INDIRECT("1:"&amp;$C$15)),(1/(1+$C$13))^ROW(INDIRECT("1:"&amp;$C$15)))+$C$8*(1+H44)^$C$15*(1+$C$14)/($C$13-$C$14)/(1+$C$13)^$C$15-$C$10)/$C$9,"N/A")</f>
        <v/>
      </c>
      <c r="J44" s="40">
        <f>IFERROR((I44-$C$7)/$C$7,"N/A")</f>
        <v/>
      </c>
    </row>
    <row r="45" ht="15" customHeight="1">
      <c r="B45" s="19" t="inlineStr">
        <is>
          <t>Less: Net Debt ($M)</t>
        </is>
      </c>
      <c r="C45" s="15">
        <f>$C$10</f>
        <v/>
      </c>
      <c r="H45" s="42" t="n">
        <v>0.37</v>
      </c>
      <c r="I45" s="43">
        <f>IFERROR((SUMPRODUCT($C$8*(1+H45)^ROW(INDIRECT("1:"&amp;$C$15)),(1/(1+$C$13))^ROW(INDIRECT("1:"&amp;$C$15)))+$C$8*(1+H45)^$C$15*(1+$C$14)/($C$13-$C$14)/(1+$C$13)^$C$15-$C$10)/$C$9,"N/A")</f>
        <v/>
      </c>
      <c r="J45" s="44">
        <f>IFERROR((I45-$C$7)/$C$7,"N/A")</f>
        <v/>
      </c>
    </row>
    <row r="46" ht="15" customHeight="1">
      <c r="B46" s="19">
        <f> Equity Value ($M)</f>
        <v/>
      </c>
      <c r="C46" s="60">
        <f>C44-C45</f>
        <v/>
      </c>
      <c r="H46" s="38" t="n">
        <v>0.38</v>
      </c>
      <c r="I46" s="39">
        <f>IFERROR((SUMPRODUCT($C$8*(1+H46)^ROW(INDIRECT("1:"&amp;$C$15)),(1/(1+$C$13))^ROW(INDIRECT("1:"&amp;$C$15)))+$C$8*(1+H46)^$C$15*(1+$C$14)/($C$13-$C$14)/(1+$C$13)^$C$15-$C$10)/$C$9,"N/A")</f>
        <v/>
      </c>
      <c r="J46" s="40">
        <f>IFERROR((I46-$C$7)/$C$7,"N/A")</f>
        <v/>
      </c>
    </row>
    <row r="47" ht="15" customHeight="1">
      <c r="B47" s="19" t="inlineStr">
        <is>
          <t>Shares Outstanding (M)</t>
        </is>
      </c>
      <c r="C47" s="61">
        <f>$C$9</f>
        <v/>
      </c>
      <c r="H47" s="42" t="n">
        <v>0.39</v>
      </c>
      <c r="I47" s="43">
        <f>IFERROR((SUMPRODUCT($C$8*(1+H47)^ROW(INDIRECT("1:"&amp;$C$15)),(1/(1+$C$13))^ROW(INDIRECT("1:"&amp;$C$15)))+$C$8*(1+H47)^$C$15*(1+$C$14)/($C$13-$C$14)/(1+$C$13)^$C$15-$C$10)/$C$9,"N/A")</f>
        <v/>
      </c>
      <c r="J47" s="44">
        <f>IFERROR((I47-$C$7)/$C$7,"N/A")</f>
        <v/>
      </c>
    </row>
    <row r="48" ht="15" customHeight="1">
      <c r="B48" s="31" t="inlineStr">
        <is>
          <t>■ Implied Stock Price  (check vs C7)</t>
        </is>
      </c>
      <c r="C48" s="62">
        <f>IFERROR(C46/$C$9,0)</f>
        <v/>
      </c>
      <c r="H48" s="38" t="n">
        <v>0.4</v>
      </c>
      <c r="I48" s="39">
        <f>IFERROR((SUMPRODUCT($C$8*(1+H48)^ROW(INDIRECT("1:"&amp;$C$15)),(1/(1+$C$13))^ROW(INDIRECT("1:"&amp;$C$15)))+$C$8*(1+H48)^$C$15*(1+$C$14)/($C$13-$C$14)/(1+$C$13)^$C$15-$C$10)/$C$9,"N/A")</f>
        <v/>
      </c>
      <c r="J48" s="40">
        <f>IFERROR((I48-$C$7)/$C$7,"N/A")</f>
        <v/>
      </c>
    </row>
    <row r="49" ht="15" customHeight="1">
      <c r="H49" s="42" t="n">
        <v>0.41</v>
      </c>
      <c r="I49" s="43">
        <f>IFERROR((SUMPRODUCT($C$8*(1+H49)^ROW(INDIRECT("1:"&amp;$C$15)),(1/(1+$C$13))^ROW(INDIRECT("1:"&amp;$C$15)))+$C$8*(1+H49)^$C$15*(1+$C$14)/($C$13-$C$14)/(1+$C$13)^$C$15-$C$10)/$C$9,"N/A")</f>
        <v/>
      </c>
      <c r="J49" s="44">
        <f>IFERROR((I49-$C$7)/$C$7,"N/A")</f>
        <v/>
      </c>
    </row>
    <row r="50" ht="15" customHeight="1">
      <c r="H50" s="38" t="n">
        <v>0.42</v>
      </c>
      <c r="I50" s="39">
        <f>IFERROR((SUMPRODUCT($C$8*(1+H50)^ROW(INDIRECT("1:"&amp;$C$15)),(1/(1+$C$13))^ROW(INDIRECT("1:"&amp;$C$15)))+$C$8*(1+H50)^$C$15*(1+$C$14)/($C$13-$C$14)/(1+$C$13)^$C$15-$C$10)/$C$9,"N/A")</f>
        <v/>
      </c>
      <c r="J50" s="40">
        <f>IFERROR((I50-$C$7)/$C$7,"N/A")</f>
        <v/>
      </c>
    </row>
    <row r="51" ht="15" customHeight="1">
      <c r="H51" s="42" t="n">
        <v>0.43</v>
      </c>
      <c r="I51" s="43">
        <f>IFERROR((SUMPRODUCT($C$8*(1+H51)^ROW(INDIRECT("1:"&amp;$C$15)),(1/(1+$C$13))^ROW(INDIRECT("1:"&amp;$C$15)))+$C$8*(1+H51)^$C$15*(1+$C$14)/($C$13-$C$14)/(1+$C$13)^$C$15-$C$10)/$C$9,"N/A")</f>
        <v/>
      </c>
      <c r="J51" s="44">
        <f>IFERROR((I51-$C$7)/$C$7,"N/A")</f>
        <v/>
      </c>
    </row>
    <row r="52" ht="15" customHeight="1">
      <c r="H52" s="38" t="n">
        <v>0.44</v>
      </c>
      <c r="I52" s="39">
        <f>IFERROR((SUMPRODUCT($C$8*(1+H52)^ROW(INDIRECT("1:"&amp;$C$15)),(1/(1+$C$13))^ROW(INDIRECT("1:"&amp;$C$15)))+$C$8*(1+H52)^$C$15*(1+$C$14)/($C$13-$C$14)/(1+$C$13)^$C$15-$C$10)/$C$9,"N/A")</f>
        <v/>
      </c>
      <c r="J52" s="40">
        <f>IFERROR((I52-$C$7)/$C$7,"N/A")</f>
        <v/>
      </c>
    </row>
    <row r="53" ht="15" customHeight="1">
      <c r="H53" s="42" t="n">
        <v>0.45</v>
      </c>
      <c r="I53" s="43">
        <f>IFERROR((SUMPRODUCT($C$8*(1+H53)^ROW(INDIRECT("1:"&amp;$C$15)),(1/(1+$C$13))^ROW(INDIRECT("1:"&amp;$C$15)))+$C$8*(1+H53)^$C$15*(1+$C$14)/($C$13-$C$14)/(1+$C$13)^$C$15-$C$10)/$C$9,"N/A")</f>
        <v/>
      </c>
      <c r="J53" s="44">
        <f>IFERROR((I53-$C$7)/$C$7,"N/A")</f>
        <v/>
      </c>
    </row>
    <row r="54" ht="15" customHeight="1">
      <c r="H54" s="38" t="n">
        <v>0.46</v>
      </c>
      <c r="I54" s="39">
        <f>IFERROR((SUMPRODUCT($C$8*(1+H54)^ROW(INDIRECT("1:"&amp;$C$15)),(1/(1+$C$13))^ROW(INDIRECT("1:"&amp;$C$15)))+$C$8*(1+H54)^$C$15*(1+$C$14)/($C$13-$C$14)/(1+$C$13)^$C$15-$C$10)/$C$9,"N/A")</f>
        <v/>
      </c>
      <c r="J54" s="40">
        <f>IFERROR((I54-$C$7)/$C$7,"N/A")</f>
        <v/>
      </c>
    </row>
    <row r="55" ht="15" customHeight="1">
      <c r="H55" s="42" t="n">
        <v>0.47</v>
      </c>
      <c r="I55" s="43">
        <f>IFERROR((SUMPRODUCT($C$8*(1+H55)^ROW(INDIRECT("1:"&amp;$C$15)),(1/(1+$C$13))^ROW(INDIRECT("1:"&amp;$C$15)))+$C$8*(1+H55)^$C$15*(1+$C$14)/($C$13-$C$14)/(1+$C$13)^$C$15-$C$10)/$C$9,"N/A")</f>
        <v/>
      </c>
      <c r="J55" s="44">
        <f>IFERROR((I55-$C$7)/$C$7,"N/A")</f>
        <v/>
      </c>
    </row>
    <row r="56" ht="15" customHeight="1">
      <c r="H56" s="38" t="n">
        <v>0.48</v>
      </c>
      <c r="I56" s="39">
        <f>IFERROR((SUMPRODUCT($C$8*(1+H56)^ROW(INDIRECT("1:"&amp;$C$15)),(1/(1+$C$13))^ROW(INDIRECT("1:"&amp;$C$15)))+$C$8*(1+H56)^$C$15*(1+$C$14)/($C$13-$C$14)/(1+$C$13)^$C$15-$C$10)/$C$9,"N/A")</f>
        <v/>
      </c>
      <c r="J56" s="40">
        <f>IFERROR((I56-$C$7)/$C$7,"N/A")</f>
        <v/>
      </c>
    </row>
    <row r="57" ht="15" customHeight="1">
      <c r="H57" s="42" t="n">
        <v>0.49</v>
      </c>
      <c r="I57" s="43">
        <f>IFERROR((SUMPRODUCT($C$8*(1+H57)^ROW(INDIRECT("1:"&amp;$C$15)),(1/(1+$C$13))^ROW(INDIRECT("1:"&amp;$C$15)))+$C$8*(1+H57)^$C$15*(1+$C$14)/($C$13-$C$14)/(1+$C$13)^$C$15-$C$10)/$C$9,"N/A")</f>
        <v/>
      </c>
      <c r="J57" s="44">
        <f>IFERROR((I57-$C$7)/$C$7,"N/A")</f>
        <v/>
      </c>
    </row>
    <row r="58" ht="15" customHeight="1">
      <c r="H58" s="38" t="n">
        <v>0.5</v>
      </c>
      <c r="I58" s="39">
        <f>IFERROR((SUMPRODUCT($C$8*(1+H58)^ROW(INDIRECT("1:"&amp;$C$15)),(1/(1+$C$13))^ROW(INDIRECT("1:"&amp;$C$15)))+$C$8*(1+H58)^$C$15*(1+$C$14)/($C$13-$C$14)/(1+$C$13)^$C$15-$C$10)/$C$9,"N/A")</f>
        <v/>
      </c>
      <c r="J58" s="40">
        <f>IFERROR((I58-$C$7)/$C$7,"N/A")</f>
        <v/>
      </c>
    </row>
    <row r="59" ht="15" customHeight="1">
      <c r="H59" s="42" t="n">
        <v>0.51</v>
      </c>
      <c r="I59" s="43">
        <f>IFERROR((SUMPRODUCT($C$8*(1+H59)^ROW(INDIRECT("1:"&amp;$C$15)),(1/(1+$C$13))^ROW(INDIRECT("1:"&amp;$C$15)))+$C$8*(1+H59)^$C$15*(1+$C$14)/($C$13-$C$14)/(1+$C$13)^$C$15-$C$10)/$C$9,"N/A")</f>
        <v/>
      </c>
      <c r="J59" s="44">
        <f>IFERROR((I59-$C$7)/$C$7,"N/A")</f>
        <v/>
      </c>
    </row>
    <row r="60" ht="15" customHeight="1">
      <c r="H60" s="38" t="n">
        <v>0.52</v>
      </c>
      <c r="I60" s="39">
        <f>IFERROR((SUMPRODUCT($C$8*(1+H60)^ROW(INDIRECT("1:"&amp;$C$15)),(1/(1+$C$13))^ROW(INDIRECT("1:"&amp;$C$15)))+$C$8*(1+H60)^$C$15*(1+$C$14)/($C$13-$C$14)/(1+$C$13)^$C$15-$C$10)/$C$9,"N/A")</f>
        <v/>
      </c>
      <c r="J60" s="40">
        <f>IFERROR((I60-$C$7)/$C$7,"N/A")</f>
        <v/>
      </c>
    </row>
    <row r="61" ht="15" customHeight="1">
      <c r="H61" s="42" t="n">
        <v>0.53</v>
      </c>
      <c r="I61" s="43">
        <f>IFERROR((SUMPRODUCT($C$8*(1+H61)^ROW(INDIRECT("1:"&amp;$C$15)),(1/(1+$C$13))^ROW(INDIRECT("1:"&amp;$C$15)))+$C$8*(1+H61)^$C$15*(1+$C$14)/($C$13-$C$14)/(1+$C$13)^$C$15-$C$10)/$C$9,"N/A")</f>
        <v/>
      </c>
      <c r="J61" s="44">
        <f>IFERROR((I61-$C$7)/$C$7,"N/A")</f>
        <v/>
      </c>
    </row>
    <row r="62" ht="15" customHeight="1">
      <c r="H62" s="38" t="n">
        <v>0.54</v>
      </c>
      <c r="I62" s="39">
        <f>IFERROR((SUMPRODUCT($C$8*(1+H62)^ROW(INDIRECT("1:"&amp;$C$15)),(1/(1+$C$13))^ROW(INDIRECT("1:"&amp;$C$15)))+$C$8*(1+H62)^$C$15*(1+$C$14)/($C$13-$C$14)/(1+$C$13)^$C$15-$C$10)/$C$9,"N/A")</f>
        <v/>
      </c>
      <c r="J62" s="40">
        <f>IFERROR((I62-$C$7)/$C$7,"N/A")</f>
        <v/>
      </c>
    </row>
    <row r="63" ht="15" customHeight="1">
      <c r="H63" s="42" t="n">
        <v>0.55</v>
      </c>
      <c r="I63" s="43">
        <f>IFERROR((SUMPRODUCT($C$8*(1+H63)^ROW(INDIRECT("1:"&amp;$C$15)),(1/(1+$C$13))^ROW(INDIRECT("1:"&amp;$C$15)))+$C$8*(1+H63)^$C$15*(1+$C$14)/($C$13-$C$14)/(1+$C$13)^$C$15-$C$10)/$C$9,"N/A")</f>
        <v/>
      </c>
      <c r="J63" s="44">
        <f>IFERROR((I63-$C$7)/$C$7,"N/A")</f>
        <v/>
      </c>
    </row>
    <row r="64" ht="15" customHeight="1">
      <c r="H64" s="38" t="n">
        <v>0.5600000000000001</v>
      </c>
      <c r="I64" s="39">
        <f>IFERROR((SUMPRODUCT($C$8*(1+H64)^ROW(INDIRECT("1:"&amp;$C$15)),(1/(1+$C$13))^ROW(INDIRECT("1:"&amp;$C$15)))+$C$8*(1+H64)^$C$15*(1+$C$14)/($C$13-$C$14)/(1+$C$13)^$C$15-$C$10)/$C$9,"N/A")</f>
        <v/>
      </c>
      <c r="J64" s="40">
        <f>IFERROR((I64-$C$7)/$C$7,"N/A")</f>
        <v/>
      </c>
    </row>
    <row r="65" ht="15" customHeight="1">
      <c r="H65" s="42" t="n">
        <v>0.57</v>
      </c>
      <c r="I65" s="43">
        <f>IFERROR((SUMPRODUCT($C$8*(1+H65)^ROW(INDIRECT("1:"&amp;$C$15)),(1/(1+$C$13))^ROW(INDIRECT("1:"&amp;$C$15)))+$C$8*(1+H65)^$C$15*(1+$C$14)/($C$13-$C$14)/(1+$C$13)^$C$15-$C$10)/$C$9,"N/A")</f>
        <v/>
      </c>
      <c r="J65" s="44">
        <f>IFERROR((I65-$C$7)/$C$7,"N/A")</f>
        <v/>
      </c>
    </row>
    <row r="66" ht="15" customHeight="1">
      <c r="H66" s="38" t="n">
        <v>0.58</v>
      </c>
      <c r="I66" s="39">
        <f>IFERROR((SUMPRODUCT($C$8*(1+H66)^ROW(INDIRECT("1:"&amp;$C$15)),(1/(1+$C$13))^ROW(INDIRECT("1:"&amp;$C$15)))+$C$8*(1+H66)^$C$15*(1+$C$14)/($C$13-$C$14)/(1+$C$13)^$C$15-$C$10)/$C$9,"N/A")</f>
        <v/>
      </c>
      <c r="J66" s="40">
        <f>IFERROR((I66-$C$7)/$C$7,"N/A")</f>
        <v/>
      </c>
    </row>
    <row r="67" ht="15" customHeight="1">
      <c r="H67" s="42" t="n">
        <v>0.59</v>
      </c>
      <c r="I67" s="43">
        <f>IFERROR((SUMPRODUCT($C$8*(1+H67)^ROW(INDIRECT("1:"&amp;$C$15)),(1/(1+$C$13))^ROW(INDIRECT("1:"&amp;$C$15)))+$C$8*(1+H67)^$C$15*(1+$C$14)/($C$13-$C$14)/(1+$C$13)^$C$15-$C$10)/$C$9,"N/A")</f>
        <v/>
      </c>
      <c r="J67" s="44">
        <f>IFERROR((I67-$C$7)/$C$7,"N/A")</f>
        <v/>
      </c>
    </row>
    <row r="68" ht="15" customHeight="1">
      <c r="H68" s="38" t="n">
        <v>0.6</v>
      </c>
      <c r="I68" s="39">
        <f>IFERROR((SUMPRODUCT($C$8*(1+H68)^ROW(INDIRECT("1:"&amp;$C$15)),(1/(1+$C$13))^ROW(INDIRECT("1:"&amp;$C$15)))+$C$8*(1+H68)^$C$15*(1+$C$14)/($C$13-$C$14)/(1+$C$13)^$C$15-$C$10)/$C$9,"N/A")</f>
        <v/>
      </c>
      <c r="J68" s="40">
        <f>IFERROR((I68-$C$7)/$C$7,"N/A")</f>
        <v/>
      </c>
    </row>
    <row r="69" ht="6" customHeight="1"/>
    <row r="70" ht="24" customHeight="1">
      <c r="H70" s="63" t="inlineStr">
        <is>
          <t>► MARKET-IMPLIED FCF GROWTH RATE</t>
        </is>
      </c>
      <c r="I70" s="3" t="n"/>
      <c r="J70" s="64">
        <f>IFERROR(INDEX($H$8:$H$68,MATCH(MIN(ABS($I$8:$I$68-$C$7)),ABS($I$8:$I$68-$C$7),0)),"#N/A")</f>
        <v/>
      </c>
    </row>
  </sheetData>
  <mergeCells count="8">
    <mergeCell ref="B12:F12"/>
    <mergeCell ref="B3:J3"/>
    <mergeCell ref="B28:F28"/>
    <mergeCell ref="H5:J5"/>
    <mergeCell ref="B5:F5"/>
    <mergeCell ref="H70:I70"/>
    <mergeCell ref="B2:J2"/>
    <mergeCell ref="H6:J6"/>
  </mergeCells>
  <conditionalFormatting sqref="J9:J68">
    <cfRule type="colorScale" priority="1">
      <colorScale>
        <cfvo type="num" val="-1"/>
        <cfvo type="num" val="0"/>
        <cfvo type="num" val="1"/>
        <color rgb="00F44336"/>
        <color rgb="00FFEB3B"/>
        <color rgb="004CAF50"/>
      </colorScale>
    </cfRule>
  </conditionalFormatting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40916C"/>
    <outlinePr summaryBelow="1" summaryRight="1"/>
    <pageSetUpPr fitToPage="1"/>
  </sheetPr>
  <dimension ref="B2:D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20" customWidth="1" min="3" max="3"/>
    <col width="28" customWidth="1" min="4" max="4"/>
  </cols>
  <sheetData>
    <row r="2" ht="40" customHeight="1">
      <c r="B2" s="25" t="inlineStr">
        <is>
          <t>WACC — WEIGHTED AVERAGE COST OF CAPITAL</t>
        </is>
      </c>
      <c r="C2" s="2" t="n"/>
      <c r="D2" s="3" t="n"/>
    </row>
    <row r="3" ht="22" customHeight="1">
      <c r="B3" s="26" t="inlineStr">
        <is>
          <t>MercadoLibre, Inc.  |  Ticker: MELI  |  Exchange: NASDAQ</t>
        </is>
      </c>
      <c r="C3" s="2" t="n"/>
      <c r="D3" s="3" t="n"/>
    </row>
    <row r="5" ht="20" customHeight="1">
      <c r="B5" s="47" t="inlineStr">
        <is>
          <t>COST OF EQUITY  (CAPM)</t>
        </is>
      </c>
      <c r="C5" s="2" t="n"/>
      <c r="D5" s="3" t="n"/>
    </row>
    <row r="6">
      <c r="B6" s="18" t="inlineStr">
        <is>
          <t>Component</t>
        </is>
      </c>
      <c r="C6" s="18" t="inlineStr">
        <is>
          <t>Value</t>
        </is>
      </c>
      <c r="D6" s="18" t="inlineStr">
        <is>
          <t>Notes</t>
        </is>
      </c>
    </row>
    <row r="7" ht="18" customHeight="1">
      <c r="B7" s="19" t="inlineStr">
        <is>
          <t>Risk-Free Rate (10Y UST)</t>
        </is>
      </c>
      <c r="C7" s="49" t="n">
        <v>0.045</v>
      </c>
      <c r="D7" s="65" t="inlineStr">
        <is>
          <t>US 10-Year Treasury yield</t>
        </is>
      </c>
    </row>
    <row r="8" ht="18" customHeight="1">
      <c r="B8" s="21" t="inlineStr">
        <is>
          <t>Equity Beta</t>
        </is>
      </c>
      <c r="C8" s="66" t="n">
        <v>1.35</v>
      </c>
      <c r="D8" s="67" t="inlineStr">
        <is>
          <t>5-yr monthly regression vs S&amp;P 500</t>
        </is>
      </c>
    </row>
    <row r="9" ht="18" customHeight="1">
      <c r="B9" s="19" t="inlineStr">
        <is>
          <t>Equity Risk Premium (ERP)</t>
        </is>
      </c>
      <c r="C9" s="49" t="n">
        <v>0.055</v>
      </c>
      <c r="D9" s="65" t="inlineStr">
        <is>
          <t>Damodaran implied ERP</t>
        </is>
      </c>
    </row>
    <row r="10" ht="18" customHeight="1">
      <c r="B10" s="21" t="inlineStr">
        <is>
          <t>Country Risk Premium (LatAm)</t>
        </is>
      </c>
      <c r="C10" s="49" t="n">
        <v>0.015</v>
      </c>
      <c r="D10" s="67" t="inlineStr">
        <is>
          <t>Weighted avg of MELI operating markets</t>
        </is>
      </c>
    </row>
    <row r="11" ht="20" customHeight="1">
      <c r="B11" s="17" t="inlineStr">
        <is>
          <t>Cost of Equity  =  Rf + β × (ERP + CRP)</t>
        </is>
      </c>
      <c r="C11" s="68">
        <f>C7+C8*(C9+C10)</f>
        <v/>
      </c>
      <c r="D11" s="67" t="inlineStr">
        <is>
          <t>CAPM formula</t>
        </is>
      </c>
    </row>
    <row r="14" ht="20" customHeight="1">
      <c r="B14" s="47" t="inlineStr">
        <is>
          <t>COST OF DEBT</t>
        </is>
      </c>
      <c r="C14" s="2" t="n"/>
      <c r="D14" s="3" t="n"/>
    </row>
    <row r="15" ht="18" customHeight="1">
      <c r="B15" s="19" t="inlineStr">
        <is>
          <t>Pre-Tax Cost of Debt</t>
        </is>
      </c>
      <c r="C15" s="49" t="n">
        <v>0.065</v>
      </c>
      <c r="D15" s="65" t="inlineStr">
        <is>
          <t>Blended yield on MELI bonds</t>
        </is>
      </c>
    </row>
    <row r="16" ht="18" customHeight="1">
      <c r="B16" s="21" t="inlineStr">
        <is>
          <t>Effective Tax Rate</t>
        </is>
      </c>
      <c r="C16" s="69" t="n">
        <v>0.3</v>
      </c>
      <c r="D16" s="67" t="inlineStr">
        <is>
          <t>Blended across LatAm jurisdictions</t>
        </is>
      </c>
    </row>
    <row r="17" ht="20" customHeight="1">
      <c r="B17" s="17" t="inlineStr">
        <is>
          <t>After-Tax Cost of Debt  =  Kd × (1 – Tax)</t>
        </is>
      </c>
      <c r="C17" s="68">
        <f>C15*(1-C16)</f>
        <v/>
      </c>
      <c r="D17" s="67" t="inlineStr">
        <is>
          <t>Tax shield on interest</t>
        </is>
      </c>
    </row>
    <row r="20" ht="20" customHeight="1">
      <c r="B20" s="47" t="inlineStr">
        <is>
          <t>CAPITAL STRUCTURE</t>
        </is>
      </c>
      <c r="C20" s="2" t="n"/>
      <c r="D20" s="3" t="n"/>
    </row>
    <row r="21" ht="18" customHeight="1">
      <c r="B21" s="19" t="inlineStr">
        <is>
          <t>Market Capitalisation ($M)</t>
        </is>
      </c>
      <c r="C21" s="34" t="n">
        <v>97000</v>
      </c>
      <c r="D21" s="65" t="inlineStr">
        <is>
          <t>Price × Shares outstanding</t>
        </is>
      </c>
    </row>
    <row r="22" ht="18" customHeight="1">
      <c r="B22" s="21" t="inlineStr">
        <is>
          <t>Total Debt ($M)</t>
        </is>
      </c>
      <c r="C22" s="34" t="n">
        <v>7000</v>
      </c>
      <c r="D22" s="67" t="inlineStr">
        <is>
          <t>Long-term + short-term debt</t>
        </is>
      </c>
    </row>
    <row r="23" ht="18" customHeight="1">
      <c r="B23" s="8" t="inlineStr">
        <is>
          <t>Total Capital ($M)</t>
        </is>
      </c>
      <c r="C23" s="70">
        <f>C21+C22</f>
        <v/>
      </c>
    </row>
    <row r="24" ht="18" customHeight="1">
      <c r="B24" s="33" t="inlineStr">
        <is>
          <t>Equity Weight (E/V)</t>
        </is>
      </c>
      <c r="C24" s="71">
        <f>C21/C23</f>
        <v/>
      </c>
    </row>
    <row r="25" ht="18" customHeight="1">
      <c r="B25" s="8" t="inlineStr">
        <is>
          <t>Debt Weight (D/V)</t>
        </is>
      </c>
      <c r="C25" s="72">
        <f>C22/C23</f>
        <v/>
      </c>
    </row>
    <row r="27" ht="8" customHeight="1"/>
    <row r="28" ht="28" customHeight="1">
      <c r="B28" s="73" t="inlineStr">
        <is>
          <t>WACC  =  (E/V) × Ke  +  (D/V) × Kd(1–t)</t>
        </is>
      </c>
      <c r="C28" s="74">
        <f>C24*C11+C25*C17</f>
        <v/>
      </c>
      <c r="D28" s="75" t="inlineStr">
        <is>
          <t>← WACC used in Reverse DCF model</t>
        </is>
      </c>
    </row>
    <row r="30">
      <c r="B30" s="76" t="inlineStr">
        <is>
          <t>Note: Update Market Cap cell (C21) when stock price changes for accurate weights.</t>
        </is>
      </c>
    </row>
  </sheetData>
  <mergeCells count="7">
    <mergeCell ref="B3:D3"/>
    <mergeCell ref="B5:D5"/>
    <mergeCell ref="B14:D14"/>
    <mergeCell ref="B17"/>
    <mergeCell ref="B11"/>
    <mergeCell ref="B2:D2"/>
    <mergeCell ref="B20:D20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tabColor rgb="0052B788"/>
    <outlinePr summaryBelow="1" summaryRight="1"/>
    <pageSetUpPr fitToPage="1"/>
  </sheetPr>
  <dimension ref="B2:H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4" customWidth="1" min="8" max="8"/>
  </cols>
  <sheetData>
    <row r="2" ht="40" customHeight="1">
      <c r="B2" s="77" t="inlineStr">
        <is>
          <t>MERCADOLIBRE — HISTORICAL FINANCIALS  ($M unless noted)</t>
        </is>
      </c>
      <c r="C2" s="2" t="n"/>
      <c r="D2" s="2" t="n"/>
      <c r="E2" s="2" t="n"/>
      <c r="F2" s="2" t="n"/>
      <c r="G2" s="2" t="n"/>
      <c r="H2" s="3" t="n"/>
    </row>
    <row r="3" ht="20" customHeight="1">
      <c r="B3" s="78" t="inlineStr">
        <is>
          <t>Source: MercadoLibre SEC filings &amp; company guidance.  FY2024 = analyst consensus estimate.</t>
        </is>
      </c>
      <c r="C3" s="2" t="n"/>
      <c r="D3" s="2" t="n"/>
      <c r="E3" s="2" t="n"/>
      <c r="F3" s="2" t="n"/>
      <c r="G3" s="2" t="n"/>
      <c r="H3" s="3" t="n"/>
    </row>
    <row r="5">
      <c r="B5" s="7" t="inlineStr">
        <is>
          <t>Metric</t>
        </is>
      </c>
      <c r="C5" s="7" t="inlineStr">
        <is>
          <t>2020</t>
        </is>
      </c>
      <c r="D5" s="7" t="inlineStr">
        <is>
          <t>2021</t>
        </is>
      </c>
      <c r="E5" s="7" t="inlineStr">
        <is>
          <t>2022</t>
        </is>
      </c>
      <c r="F5" s="7" t="inlineStr">
        <is>
          <t>2023</t>
        </is>
      </c>
      <c r="G5" s="7" t="inlineStr">
        <is>
          <t>2024</t>
        </is>
      </c>
      <c r="H5" s="7" t="inlineStr">
        <is>
          <t>CAGR '20–'24</t>
        </is>
      </c>
    </row>
    <row r="6" ht="20" customHeight="1">
      <c r="B6" s="7" t="inlineStr">
        <is>
          <t>INCOME STATEMENT</t>
        </is>
      </c>
      <c r="C6" s="2" t="n"/>
      <c r="D6" s="2" t="n"/>
      <c r="E6" s="2" t="n"/>
      <c r="F6" s="2" t="n"/>
      <c r="G6" s="2" t="n"/>
      <c r="H6" s="3" t="n"/>
    </row>
    <row r="7" ht="18" customHeight="1">
      <c r="B7" s="21" t="inlineStr">
        <is>
          <t>Revenue</t>
        </is>
      </c>
      <c r="C7" s="22" t="n">
        <v>3969</v>
      </c>
      <c r="D7" s="22" t="n">
        <v>7069</v>
      </c>
      <c r="E7" s="22" t="n">
        <v>10537</v>
      </c>
      <c r="F7" s="22" t="n">
        <v>14474</v>
      </c>
      <c r="G7" s="22" t="n">
        <v>20777</v>
      </c>
      <c r="H7" s="79">
        <f>IFERROR((G7/C7)^(1/4)-1,"")</f>
        <v/>
      </c>
    </row>
    <row r="8" ht="18" customHeight="1">
      <c r="B8" s="80" t="inlineStr">
        <is>
          <t xml:space="preserve">  Gross Profit</t>
        </is>
      </c>
      <c r="C8" s="20" t="n">
        <v>1682</v>
      </c>
      <c r="D8" s="20" t="n">
        <v>3015</v>
      </c>
      <c r="E8" s="20" t="n">
        <v>4497</v>
      </c>
      <c r="F8" s="20" t="n">
        <v>6939</v>
      </c>
      <c r="G8" s="20" t="n">
        <v>10530</v>
      </c>
      <c r="H8" s="79">
        <f>IFERROR((G8/C8)^(1/4)-1,"")</f>
        <v/>
      </c>
    </row>
    <row r="9" ht="18" customHeight="1">
      <c r="B9" s="81" t="inlineStr">
        <is>
          <t xml:space="preserve">  Gross Margin</t>
        </is>
      </c>
      <c r="C9" s="82">
        <f>IF(C7&lt;&gt;0,C8/C7,0)</f>
        <v/>
      </c>
      <c r="D9" s="82">
        <f>IF(D7&lt;&gt;0,D8/D7,0)</f>
        <v/>
      </c>
      <c r="E9" s="82">
        <f>IF(E7&lt;&gt;0,E8/E7,0)</f>
        <v/>
      </c>
      <c r="F9" s="82">
        <f>IF(F7&lt;&gt;0,F8/F7,0)</f>
        <v/>
      </c>
      <c r="G9" s="82">
        <f>IF(G7&lt;&gt;0,G8/G7,0)</f>
        <v/>
      </c>
      <c r="H9" s="56" t="inlineStr">
        <is>
          <t>—</t>
        </is>
      </c>
    </row>
    <row r="10" ht="18" customHeight="1">
      <c r="B10" s="80" t="inlineStr">
        <is>
          <t xml:space="preserve">  EBITDA</t>
        </is>
      </c>
      <c r="C10" s="20" t="n">
        <v>274</v>
      </c>
      <c r="D10" s="20" t="n">
        <v>1163</v>
      </c>
      <c r="E10" s="20" t="n">
        <v>1565</v>
      </c>
      <c r="F10" s="20" t="n">
        <v>3468</v>
      </c>
      <c r="G10" s="20" t="n">
        <v>5300</v>
      </c>
      <c r="H10" s="79">
        <f>IFERROR((G10/C10)^(1/4)-1,"")</f>
        <v/>
      </c>
    </row>
    <row r="11" ht="18" customHeight="1">
      <c r="B11" s="81" t="inlineStr">
        <is>
          <t xml:space="preserve">  EBITDA Margin</t>
        </is>
      </c>
      <c r="C11" s="82">
        <f>IF(C7&lt;&gt;0,C10/C7,0)</f>
        <v/>
      </c>
      <c r="D11" s="82">
        <f>IF(D7&lt;&gt;0,D10/D7,0)</f>
        <v/>
      </c>
      <c r="E11" s="82">
        <f>IF(E7&lt;&gt;0,E10/E7,0)</f>
        <v/>
      </c>
      <c r="F11" s="82">
        <f>IF(F7&lt;&gt;0,F10/F7,0)</f>
        <v/>
      </c>
      <c r="G11" s="82">
        <f>IF(G7&lt;&gt;0,G10/G7,0)</f>
        <v/>
      </c>
      <c r="H11" s="56" t="inlineStr">
        <is>
          <t>—</t>
        </is>
      </c>
    </row>
    <row r="12" ht="18" customHeight="1">
      <c r="B12" s="80" t="inlineStr">
        <is>
          <t xml:space="preserve">  Net Income</t>
        </is>
      </c>
      <c r="C12" s="83" t="n">
        <v>-161</v>
      </c>
      <c r="D12" s="20" t="n">
        <v>83</v>
      </c>
      <c r="E12" s="20" t="n">
        <v>482</v>
      </c>
      <c r="F12" s="20" t="n">
        <v>1280</v>
      </c>
      <c r="G12" s="20" t="n">
        <v>2300</v>
      </c>
      <c r="H12" s="79">
        <f>IFERROR((G12/C12)^(1/4)-1,"")</f>
        <v/>
      </c>
    </row>
    <row r="13" ht="20" customHeight="1">
      <c r="B13" s="7" t="inlineStr">
        <is>
          <t>CASH FLOW</t>
        </is>
      </c>
      <c r="C13" s="2" t="n"/>
      <c r="D13" s="2" t="n"/>
      <c r="E13" s="2" t="n"/>
      <c r="F13" s="2" t="n"/>
      <c r="G13" s="2" t="n"/>
      <c r="H13" s="3" t="n"/>
    </row>
    <row r="14" ht="18" customHeight="1">
      <c r="B14" s="19" t="inlineStr">
        <is>
          <t>Operating Cash Flow</t>
        </is>
      </c>
      <c r="C14" s="20" t="n">
        <v>722</v>
      </c>
      <c r="D14" s="20" t="n">
        <v>1571</v>
      </c>
      <c r="E14" s="20" t="n">
        <v>1644</v>
      </c>
      <c r="F14" s="20" t="n">
        <v>3164</v>
      </c>
      <c r="G14" s="20" t="n">
        <v>4500</v>
      </c>
      <c r="H14" s="79">
        <f>IFERROR((G14/C14)^(1/4)-1,"")</f>
        <v/>
      </c>
    </row>
    <row r="15" ht="18" customHeight="1">
      <c r="B15" s="81" t="inlineStr">
        <is>
          <t xml:space="preserve">  Capital Expenditures</t>
        </is>
      </c>
      <c r="C15" s="22" t="n">
        <v>213</v>
      </c>
      <c r="D15" s="22" t="n">
        <v>329</v>
      </c>
      <c r="E15" s="22" t="n">
        <v>549</v>
      </c>
      <c r="F15" s="22" t="n">
        <v>628</v>
      </c>
      <c r="G15" s="22" t="n">
        <v>700</v>
      </c>
      <c r="H15" s="79">
        <f>IFERROR((G15/C15)^(1/4)-1,"")</f>
        <v/>
      </c>
    </row>
    <row r="16" ht="18" customHeight="1">
      <c r="B16" s="80" t="inlineStr">
        <is>
          <t xml:space="preserve">  Free Cash Flow</t>
        </is>
      </c>
      <c r="C16" s="20" t="n">
        <v>509</v>
      </c>
      <c r="D16" s="20" t="n">
        <v>1242</v>
      </c>
      <c r="E16" s="20" t="n">
        <v>1095</v>
      </c>
      <c r="F16" s="20" t="n">
        <v>2536</v>
      </c>
      <c r="G16" s="20" t="n">
        <v>3800</v>
      </c>
      <c r="H16" s="79">
        <f>IFERROR((G16/C16)^(1/4)-1,"")</f>
        <v/>
      </c>
    </row>
    <row r="17" ht="18" customHeight="1">
      <c r="B17" s="81" t="inlineStr">
        <is>
          <t xml:space="preserve">  FCF Margin</t>
        </is>
      </c>
      <c r="C17" s="82">
        <f>IF(C7&lt;&gt;0,C16/C7,0)</f>
        <v/>
      </c>
      <c r="D17" s="82">
        <f>IF(D7&lt;&gt;0,D16/D7,0)</f>
        <v/>
      </c>
      <c r="E17" s="82">
        <f>IF(E7&lt;&gt;0,E16/E7,0)</f>
        <v/>
      </c>
      <c r="F17" s="82">
        <f>IF(F7&lt;&gt;0,F16/F7,0)</f>
        <v/>
      </c>
      <c r="G17" s="82">
        <f>IF(G7&lt;&gt;0,G16/G7,0)</f>
        <v/>
      </c>
      <c r="H17" s="56" t="inlineStr">
        <is>
          <t>—</t>
        </is>
      </c>
    </row>
    <row r="18" ht="18" customHeight="1">
      <c r="B18" s="80" t="inlineStr">
        <is>
          <t xml:space="preserve">  FCF Growth YoY</t>
        </is>
      </c>
      <c r="D18" s="84">
        <f>IF(C16&lt;&gt;0,D16/C16-1,0)</f>
        <v/>
      </c>
      <c r="E18" s="84">
        <f>IF(D16&lt;&gt;0,E16/D16-1,0)</f>
        <v/>
      </c>
      <c r="F18" s="84">
        <f>IF(E16&lt;&gt;0,F16/E16-1,0)</f>
        <v/>
      </c>
      <c r="G18" s="84">
        <f>IF(F16&lt;&gt;0,G16/F16-1,0)</f>
        <v/>
      </c>
      <c r="H18" s="52" t="inlineStr">
        <is>
          <t>—</t>
        </is>
      </c>
    </row>
  </sheetData>
  <mergeCells count="4">
    <mergeCell ref="B13:H13"/>
    <mergeCell ref="B3:H3"/>
    <mergeCell ref="B6:H6"/>
    <mergeCell ref="B2:H2"/>
  </mergeCell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74C69D"/>
    <outlinePr summaryBelow="1" summaryRight="1"/>
    <pageSetUpPr fitToPage="1"/>
  </sheetPr>
  <dimension ref="B2:L3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2" ht="40" customHeight="1">
      <c r="B2" s="77" t="inlineStr">
        <is>
          <t>SENSITIVITY ANALYSIS — DCF Implied Stock Price ($)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n"/>
    </row>
    <row r="3" ht="30" customHeight="1">
      <c r="B3" s="85" t="inlineStr">
        <is>
          <t>Each cell shows the implied stock price for a given combination of WACC (rows) and FCF Growth Rate (columns). Shading: green = above current price.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3" t="n"/>
    </row>
    <row r="4">
      <c r="B4" s="86" t="inlineStr">
        <is>
          <t>Current Stock Price →</t>
        </is>
      </c>
      <c r="C4" s="87">
        <f>'Reverse DCF'!C7</f>
        <v/>
      </c>
      <c r="D4" s="88" t="inlineStr">
        <is>
          <t>← Reference for color-coding below</t>
        </is>
      </c>
    </row>
    <row r="6" ht="20" customHeight="1">
      <c r="B6" s="27" t="inlineStr">
        <is>
          <t>IMPLIED STOCK PRICE  ($ / share)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3" t="n"/>
    </row>
    <row r="7" ht="22" customHeight="1">
      <c r="B7" s="89" t="inlineStr">
        <is>
          <t>WACC ↓ / Growth →</t>
        </is>
      </c>
      <c r="C7" s="7" t="inlineStr">
        <is>
          <t>10%</t>
        </is>
      </c>
      <c r="D7" s="7" t="inlineStr">
        <is>
          <t>15%</t>
        </is>
      </c>
      <c r="E7" s="7" t="inlineStr">
        <is>
          <t>20%</t>
        </is>
      </c>
      <c r="F7" s="7" t="inlineStr">
        <is>
          <t>25%</t>
        </is>
      </c>
      <c r="G7" s="7" t="inlineStr">
        <is>
          <t>30%</t>
        </is>
      </c>
      <c r="H7" s="7" t="inlineStr">
        <is>
          <t>35%</t>
        </is>
      </c>
      <c r="I7" s="7" t="inlineStr">
        <is>
          <t>40%</t>
        </is>
      </c>
      <c r="J7" s="7" t="inlineStr">
        <is>
          <t>45%</t>
        </is>
      </c>
      <c r="K7" s="7" t="inlineStr">
        <is>
          <t>50%</t>
        </is>
      </c>
      <c r="L7" s="7" t="inlineStr">
        <is>
          <t>55%</t>
        </is>
      </c>
    </row>
    <row r="8" ht="20" customHeight="1">
      <c r="B8" s="18" t="inlineStr">
        <is>
          <t>8%</t>
        </is>
      </c>
      <c r="C8" s="20">
        <f>IFERROR((SUMPRODUCT('Reverse DCF'!$C$8*(1+C$7)^ROW(INDIRECT("1:"&amp;'Reverse DCF'!$C$15)),(1/(1+$B8))^ROW(INDIRECT("1:"&amp;'Reverse DCF'!$C$15)))+'Reverse DCF'!$C$8*(1+C$7)^'Reverse DCF'!$C$15*(1+'Reverse DCF'!$C$14)/($B8-'Reverse DCF'!$C$14)/(1+$B8)^'Reverse DCF'!$C$15-'Reverse DCF'!$C$10)/'Reverse DCF'!$C$9,"N/A")</f>
        <v/>
      </c>
      <c r="D8" s="20">
        <f>IFERROR((SUMPRODUCT('Reverse DCF'!$C$8*(1+D$7)^ROW(INDIRECT("1:"&amp;'Reverse DCF'!$C$15)),(1/(1+$B8))^ROW(INDIRECT("1:"&amp;'Reverse DCF'!$C$15)))+'Reverse DCF'!$C$8*(1+D$7)^'Reverse DCF'!$C$15*(1+'Reverse DCF'!$C$14)/($B8-'Reverse DCF'!$C$14)/(1+$B8)^'Reverse DCF'!$C$15-'Reverse DCF'!$C$10)/'Reverse DCF'!$C$9,"N/A")</f>
        <v/>
      </c>
      <c r="E8" s="20">
        <f>IFERROR((SUMPRODUCT('Reverse DCF'!$C$8*(1+E$7)^ROW(INDIRECT("1:"&amp;'Reverse DCF'!$C$15)),(1/(1+$B8))^ROW(INDIRECT("1:"&amp;'Reverse DCF'!$C$15)))+'Reverse DCF'!$C$8*(1+E$7)^'Reverse DCF'!$C$15*(1+'Reverse DCF'!$C$14)/($B8-'Reverse DCF'!$C$14)/(1+$B8)^'Reverse DCF'!$C$15-'Reverse DCF'!$C$10)/'Reverse DCF'!$C$9,"N/A")</f>
        <v/>
      </c>
      <c r="F8" s="20">
        <f>IFERROR((SUMPRODUCT('Reverse DCF'!$C$8*(1+F$7)^ROW(INDIRECT("1:"&amp;'Reverse DCF'!$C$15)),(1/(1+$B8))^ROW(INDIRECT("1:"&amp;'Reverse DCF'!$C$15)))+'Reverse DCF'!$C$8*(1+F$7)^'Reverse DCF'!$C$15*(1+'Reverse DCF'!$C$14)/($B8-'Reverse DCF'!$C$14)/(1+$B8)^'Reverse DCF'!$C$15-'Reverse DCF'!$C$10)/'Reverse DCF'!$C$9,"N/A")</f>
        <v/>
      </c>
      <c r="G8" s="20">
        <f>IFERROR((SUMPRODUCT('Reverse DCF'!$C$8*(1+G$7)^ROW(INDIRECT("1:"&amp;'Reverse DCF'!$C$15)),(1/(1+$B8))^ROW(INDIRECT("1:"&amp;'Reverse DCF'!$C$15)))+'Reverse DCF'!$C$8*(1+G$7)^'Reverse DCF'!$C$15*(1+'Reverse DCF'!$C$14)/($B8-'Reverse DCF'!$C$14)/(1+$B8)^'Reverse DCF'!$C$15-'Reverse DCF'!$C$10)/'Reverse DCF'!$C$9,"N/A")</f>
        <v/>
      </c>
      <c r="H8" s="20">
        <f>IFERROR((SUMPRODUCT('Reverse DCF'!$C$8*(1+H$7)^ROW(INDIRECT("1:"&amp;'Reverse DCF'!$C$15)),(1/(1+$B8))^ROW(INDIRECT("1:"&amp;'Reverse DCF'!$C$15)))+'Reverse DCF'!$C$8*(1+H$7)^'Reverse DCF'!$C$15*(1+'Reverse DCF'!$C$14)/($B8-'Reverse DCF'!$C$14)/(1+$B8)^'Reverse DCF'!$C$15-'Reverse DCF'!$C$10)/'Reverse DCF'!$C$9,"N/A")</f>
        <v/>
      </c>
      <c r="I8" s="20">
        <f>IFERROR((SUMPRODUCT('Reverse DCF'!$C$8*(1+I$7)^ROW(INDIRECT("1:"&amp;'Reverse DCF'!$C$15)),(1/(1+$B8))^ROW(INDIRECT("1:"&amp;'Reverse DCF'!$C$15)))+'Reverse DCF'!$C$8*(1+I$7)^'Reverse DCF'!$C$15*(1+'Reverse DCF'!$C$14)/($B8-'Reverse DCF'!$C$14)/(1+$B8)^'Reverse DCF'!$C$15-'Reverse DCF'!$C$10)/'Reverse DCF'!$C$9,"N/A")</f>
        <v/>
      </c>
      <c r="J8" s="20">
        <f>IFERROR((SUMPRODUCT('Reverse DCF'!$C$8*(1+J$7)^ROW(INDIRECT("1:"&amp;'Reverse DCF'!$C$15)),(1/(1+$B8))^ROW(INDIRECT("1:"&amp;'Reverse DCF'!$C$15)))+'Reverse DCF'!$C$8*(1+J$7)^'Reverse DCF'!$C$15*(1+'Reverse DCF'!$C$14)/($B8-'Reverse DCF'!$C$14)/(1+$B8)^'Reverse DCF'!$C$15-'Reverse DCF'!$C$10)/'Reverse DCF'!$C$9,"N/A")</f>
        <v/>
      </c>
      <c r="K8" s="20">
        <f>IFERROR((SUMPRODUCT('Reverse DCF'!$C$8*(1+K$7)^ROW(INDIRECT("1:"&amp;'Reverse DCF'!$C$15)),(1/(1+$B8))^ROW(INDIRECT("1:"&amp;'Reverse DCF'!$C$15)))+'Reverse DCF'!$C$8*(1+K$7)^'Reverse DCF'!$C$15*(1+'Reverse DCF'!$C$14)/($B8-'Reverse DCF'!$C$14)/(1+$B8)^'Reverse DCF'!$C$15-'Reverse DCF'!$C$10)/'Reverse DCF'!$C$9,"N/A")</f>
        <v/>
      </c>
      <c r="L8" s="20">
        <f>IFERROR((SUMPRODUCT('Reverse DCF'!$C$8*(1+L$7)^ROW(INDIRECT("1:"&amp;'Reverse DCF'!$C$15)),(1/(1+$B8))^ROW(INDIRECT("1:"&amp;'Reverse DCF'!$C$15)))+'Reverse DCF'!$C$8*(1+L$7)^'Reverse DCF'!$C$15*(1+'Reverse DCF'!$C$14)/($B8-'Reverse DCF'!$C$14)/(1+$B8)^'Reverse DCF'!$C$15-'Reverse DCF'!$C$10)/'Reverse DCF'!$C$9,"N/A")</f>
        <v/>
      </c>
    </row>
    <row r="9" ht="20" customHeight="1">
      <c r="B9" s="18" t="inlineStr">
        <is>
          <t>9%</t>
        </is>
      </c>
      <c r="C9" s="22">
        <f>IFERROR((SUMPRODUCT('Reverse DCF'!$C$8*(1+C$7)^ROW(INDIRECT("1:"&amp;'Reverse DCF'!$C$15)),(1/(1+$B9))^ROW(INDIRECT("1:"&amp;'Reverse DCF'!$C$15)))+'Reverse DCF'!$C$8*(1+C$7)^'Reverse DCF'!$C$15*(1+'Reverse DCF'!$C$14)/($B9-'Reverse DCF'!$C$14)/(1+$B9)^'Reverse DCF'!$C$15-'Reverse DCF'!$C$10)/'Reverse DCF'!$C$9,"N/A")</f>
        <v/>
      </c>
      <c r="D9" s="22">
        <f>IFERROR((SUMPRODUCT('Reverse DCF'!$C$8*(1+D$7)^ROW(INDIRECT("1:"&amp;'Reverse DCF'!$C$15)),(1/(1+$B9))^ROW(INDIRECT("1:"&amp;'Reverse DCF'!$C$15)))+'Reverse DCF'!$C$8*(1+D$7)^'Reverse DCF'!$C$15*(1+'Reverse DCF'!$C$14)/($B9-'Reverse DCF'!$C$14)/(1+$B9)^'Reverse DCF'!$C$15-'Reverse DCF'!$C$10)/'Reverse DCF'!$C$9,"N/A")</f>
        <v/>
      </c>
      <c r="E9" s="22">
        <f>IFERROR((SUMPRODUCT('Reverse DCF'!$C$8*(1+E$7)^ROW(INDIRECT("1:"&amp;'Reverse DCF'!$C$15)),(1/(1+$B9))^ROW(INDIRECT("1:"&amp;'Reverse DCF'!$C$15)))+'Reverse DCF'!$C$8*(1+E$7)^'Reverse DCF'!$C$15*(1+'Reverse DCF'!$C$14)/($B9-'Reverse DCF'!$C$14)/(1+$B9)^'Reverse DCF'!$C$15-'Reverse DCF'!$C$10)/'Reverse DCF'!$C$9,"N/A")</f>
        <v/>
      </c>
      <c r="F9" s="22">
        <f>IFERROR((SUMPRODUCT('Reverse DCF'!$C$8*(1+F$7)^ROW(INDIRECT("1:"&amp;'Reverse DCF'!$C$15)),(1/(1+$B9))^ROW(INDIRECT("1:"&amp;'Reverse DCF'!$C$15)))+'Reverse DCF'!$C$8*(1+F$7)^'Reverse DCF'!$C$15*(1+'Reverse DCF'!$C$14)/($B9-'Reverse DCF'!$C$14)/(1+$B9)^'Reverse DCF'!$C$15-'Reverse DCF'!$C$10)/'Reverse DCF'!$C$9,"N/A")</f>
        <v/>
      </c>
      <c r="G9" s="22">
        <f>IFERROR((SUMPRODUCT('Reverse DCF'!$C$8*(1+G$7)^ROW(INDIRECT("1:"&amp;'Reverse DCF'!$C$15)),(1/(1+$B9))^ROW(INDIRECT("1:"&amp;'Reverse DCF'!$C$15)))+'Reverse DCF'!$C$8*(1+G$7)^'Reverse DCF'!$C$15*(1+'Reverse DCF'!$C$14)/($B9-'Reverse DCF'!$C$14)/(1+$B9)^'Reverse DCF'!$C$15-'Reverse DCF'!$C$10)/'Reverse DCF'!$C$9,"N/A")</f>
        <v/>
      </c>
      <c r="H9" s="22">
        <f>IFERROR((SUMPRODUCT('Reverse DCF'!$C$8*(1+H$7)^ROW(INDIRECT("1:"&amp;'Reverse DCF'!$C$15)),(1/(1+$B9))^ROW(INDIRECT("1:"&amp;'Reverse DCF'!$C$15)))+'Reverse DCF'!$C$8*(1+H$7)^'Reverse DCF'!$C$15*(1+'Reverse DCF'!$C$14)/($B9-'Reverse DCF'!$C$14)/(1+$B9)^'Reverse DCF'!$C$15-'Reverse DCF'!$C$10)/'Reverse DCF'!$C$9,"N/A")</f>
        <v/>
      </c>
      <c r="I9" s="22">
        <f>IFERROR((SUMPRODUCT('Reverse DCF'!$C$8*(1+I$7)^ROW(INDIRECT("1:"&amp;'Reverse DCF'!$C$15)),(1/(1+$B9))^ROW(INDIRECT("1:"&amp;'Reverse DCF'!$C$15)))+'Reverse DCF'!$C$8*(1+I$7)^'Reverse DCF'!$C$15*(1+'Reverse DCF'!$C$14)/($B9-'Reverse DCF'!$C$14)/(1+$B9)^'Reverse DCF'!$C$15-'Reverse DCF'!$C$10)/'Reverse DCF'!$C$9,"N/A")</f>
        <v/>
      </c>
      <c r="J9" s="22">
        <f>IFERROR((SUMPRODUCT('Reverse DCF'!$C$8*(1+J$7)^ROW(INDIRECT("1:"&amp;'Reverse DCF'!$C$15)),(1/(1+$B9))^ROW(INDIRECT("1:"&amp;'Reverse DCF'!$C$15)))+'Reverse DCF'!$C$8*(1+J$7)^'Reverse DCF'!$C$15*(1+'Reverse DCF'!$C$14)/($B9-'Reverse DCF'!$C$14)/(1+$B9)^'Reverse DCF'!$C$15-'Reverse DCF'!$C$10)/'Reverse DCF'!$C$9,"N/A")</f>
        <v/>
      </c>
      <c r="K9" s="22">
        <f>IFERROR((SUMPRODUCT('Reverse DCF'!$C$8*(1+K$7)^ROW(INDIRECT("1:"&amp;'Reverse DCF'!$C$15)),(1/(1+$B9))^ROW(INDIRECT("1:"&amp;'Reverse DCF'!$C$15)))+'Reverse DCF'!$C$8*(1+K$7)^'Reverse DCF'!$C$15*(1+'Reverse DCF'!$C$14)/($B9-'Reverse DCF'!$C$14)/(1+$B9)^'Reverse DCF'!$C$15-'Reverse DCF'!$C$10)/'Reverse DCF'!$C$9,"N/A")</f>
        <v/>
      </c>
      <c r="L9" s="22">
        <f>IFERROR((SUMPRODUCT('Reverse DCF'!$C$8*(1+L$7)^ROW(INDIRECT("1:"&amp;'Reverse DCF'!$C$15)),(1/(1+$B9))^ROW(INDIRECT("1:"&amp;'Reverse DCF'!$C$15)))+'Reverse DCF'!$C$8*(1+L$7)^'Reverse DCF'!$C$15*(1+'Reverse DCF'!$C$14)/($B9-'Reverse DCF'!$C$14)/(1+$B9)^'Reverse DCF'!$C$15-'Reverse DCF'!$C$10)/'Reverse DCF'!$C$9,"N/A")</f>
        <v/>
      </c>
    </row>
    <row r="10" ht="20" customHeight="1">
      <c r="B10" s="18" t="inlineStr">
        <is>
          <t>10%</t>
        </is>
      </c>
      <c r="C10" s="20">
        <f>IFERROR((SUMPRODUCT('Reverse DCF'!$C$8*(1+C$7)^ROW(INDIRECT("1:"&amp;'Reverse DCF'!$C$15)),(1/(1+$B10))^ROW(INDIRECT("1:"&amp;'Reverse DCF'!$C$15)))+'Reverse DCF'!$C$8*(1+C$7)^'Reverse DCF'!$C$15*(1+'Reverse DCF'!$C$14)/($B10-'Reverse DCF'!$C$14)/(1+$B10)^'Reverse DCF'!$C$15-'Reverse DCF'!$C$10)/'Reverse DCF'!$C$9,"N/A")</f>
        <v/>
      </c>
      <c r="D10" s="20">
        <f>IFERROR((SUMPRODUCT('Reverse DCF'!$C$8*(1+D$7)^ROW(INDIRECT("1:"&amp;'Reverse DCF'!$C$15)),(1/(1+$B10))^ROW(INDIRECT("1:"&amp;'Reverse DCF'!$C$15)))+'Reverse DCF'!$C$8*(1+D$7)^'Reverse DCF'!$C$15*(1+'Reverse DCF'!$C$14)/($B10-'Reverse DCF'!$C$14)/(1+$B10)^'Reverse DCF'!$C$15-'Reverse DCF'!$C$10)/'Reverse DCF'!$C$9,"N/A")</f>
        <v/>
      </c>
      <c r="E10" s="20">
        <f>IFERROR((SUMPRODUCT('Reverse DCF'!$C$8*(1+E$7)^ROW(INDIRECT("1:"&amp;'Reverse DCF'!$C$15)),(1/(1+$B10))^ROW(INDIRECT("1:"&amp;'Reverse DCF'!$C$15)))+'Reverse DCF'!$C$8*(1+E$7)^'Reverse DCF'!$C$15*(1+'Reverse DCF'!$C$14)/($B10-'Reverse DCF'!$C$14)/(1+$B10)^'Reverse DCF'!$C$15-'Reverse DCF'!$C$10)/'Reverse DCF'!$C$9,"N/A")</f>
        <v/>
      </c>
      <c r="F10" s="20">
        <f>IFERROR((SUMPRODUCT('Reverse DCF'!$C$8*(1+F$7)^ROW(INDIRECT("1:"&amp;'Reverse DCF'!$C$15)),(1/(1+$B10))^ROW(INDIRECT("1:"&amp;'Reverse DCF'!$C$15)))+'Reverse DCF'!$C$8*(1+F$7)^'Reverse DCF'!$C$15*(1+'Reverse DCF'!$C$14)/($B10-'Reverse DCF'!$C$14)/(1+$B10)^'Reverse DCF'!$C$15-'Reverse DCF'!$C$10)/'Reverse DCF'!$C$9,"N/A")</f>
        <v/>
      </c>
      <c r="G10" s="20">
        <f>IFERROR((SUMPRODUCT('Reverse DCF'!$C$8*(1+G$7)^ROW(INDIRECT("1:"&amp;'Reverse DCF'!$C$15)),(1/(1+$B10))^ROW(INDIRECT("1:"&amp;'Reverse DCF'!$C$15)))+'Reverse DCF'!$C$8*(1+G$7)^'Reverse DCF'!$C$15*(1+'Reverse DCF'!$C$14)/($B10-'Reverse DCF'!$C$14)/(1+$B10)^'Reverse DCF'!$C$15-'Reverse DCF'!$C$10)/'Reverse DCF'!$C$9,"N/A")</f>
        <v/>
      </c>
      <c r="H10" s="20">
        <f>IFERROR((SUMPRODUCT('Reverse DCF'!$C$8*(1+H$7)^ROW(INDIRECT("1:"&amp;'Reverse DCF'!$C$15)),(1/(1+$B10))^ROW(INDIRECT("1:"&amp;'Reverse DCF'!$C$15)))+'Reverse DCF'!$C$8*(1+H$7)^'Reverse DCF'!$C$15*(1+'Reverse DCF'!$C$14)/($B10-'Reverse DCF'!$C$14)/(1+$B10)^'Reverse DCF'!$C$15-'Reverse DCF'!$C$10)/'Reverse DCF'!$C$9,"N/A")</f>
        <v/>
      </c>
      <c r="I10" s="20">
        <f>IFERROR((SUMPRODUCT('Reverse DCF'!$C$8*(1+I$7)^ROW(INDIRECT("1:"&amp;'Reverse DCF'!$C$15)),(1/(1+$B10))^ROW(INDIRECT("1:"&amp;'Reverse DCF'!$C$15)))+'Reverse DCF'!$C$8*(1+I$7)^'Reverse DCF'!$C$15*(1+'Reverse DCF'!$C$14)/($B10-'Reverse DCF'!$C$14)/(1+$B10)^'Reverse DCF'!$C$15-'Reverse DCF'!$C$10)/'Reverse DCF'!$C$9,"N/A")</f>
        <v/>
      </c>
      <c r="J10" s="20">
        <f>IFERROR((SUMPRODUCT('Reverse DCF'!$C$8*(1+J$7)^ROW(INDIRECT("1:"&amp;'Reverse DCF'!$C$15)),(1/(1+$B10))^ROW(INDIRECT("1:"&amp;'Reverse DCF'!$C$15)))+'Reverse DCF'!$C$8*(1+J$7)^'Reverse DCF'!$C$15*(1+'Reverse DCF'!$C$14)/($B10-'Reverse DCF'!$C$14)/(1+$B10)^'Reverse DCF'!$C$15-'Reverse DCF'!$C$10)/'Reverse DCF'!$C$9,"N/A")</f>
        <v/>
      </c>
      <c r="K10" s="20">
        <f>IFERROR((SUMPRODUCT('Reverse DCF'!$C$8*(1+K$7)^ROW(INDIRECT("1:"&amp;'Reverse DCF'!$C$15)),(1/(1+$B10))^ROW(INDIRECT("1:"&amp;'Reverse DCF'!$C$15)))+'Reverse DCF'!$C$8*(1+K$7)^'Reverse DCF'!$C$15*(1+'Reverse DCF'!$C$14)/($B10-'Reverse DCF'!$C$14)/(1+$B10)^'Reverse DCF'!$C$15-'Reverse DCF'!$C$10)/'Reverse DCF'!$C$9,"N/A")</f>
        <v/>
      </c>
      <c r="L10" s="20">
        <f>IFERROR((SUMPRODUCT('Reverse DCF'!$C$8*(1+L$7)^ROW(INDIRECT("1:"&amp;'Reverse DCF'!$C$15)),(1/(1+$B10))^ROW(INDIRECT("1:"&amp;'Reverse DCF'!$C$15)))+'Reverse DCF'!$C$8*(1+L$7)^'Reverse DCF'!$C$15*(1+'Reverse DCF'!$C$14)/($B10-'Reverse DCF'!$C$14)/(1+$B10)^'Reverse DCF'!$C$15-'Reverse DCF'!$C$10)/'Reverse DCF'!$C$9,"N/A")</f>
        <v/>
      </c>
    </row>
    <row r="11" ht="20" customHeight="1">
      <c r="B11" s="18" t="inlineStr">
        <is>
          <t>11%</t>
        </is>
      </c>
      <c r="C11" s="22">
        <f>IFERROR((SUMPRODUCT('Reverse DCF'!$C$8*(1+C$7)^ROW(INDIRECT("1:"&amp;'Reverse DCF'!$C$15)),(1/(1+$B11))^ROW(INDIRECT("1:"&amp;'Reverse DCF'!$C$15)))+'Reverse DCF'!$C$8*(1+C$7)^'Reverse DCF'!$C$15*(1+'Reverse DCF'!$C$14)/($B11-'Reverse DCF'!$C$14)/(1+$B11)^'Reverse DCF'!$C$15-'Reverse DCF'!$C$10)/'Reverse DCF'!$C$9,"N/A")</f>
        <v/>
      </c>
      <c r="D11" s="22">
        <f>IFERROR((SUMPRODUCT('Reverse DCF'!$C$8*(1+D$7)^ROW(INDIRECT("1:"&amp;'Reverse DCF'!$C$15)),(1/(1+$B11))^ROW(INDIRECT("1:"&amp;'Reverse DCF'!$C$15)))+'Reverse DCF'!$C$8*(1+D$7)^'Reverse DCF'!$C$15*(1+'Reverse DCF'!$C$14)/($B11-'Reverse DCF'!$C$14)/(1+$B11)^'Reverse DCF'!$C$15-'Reverse DCF'!$C$10)/'Reverse DCF'!$C$9,"N/A")</f>
        <v/>
      </c>
      <c r="E11" s="22">
        <f>IFERROR((SUMPRODUCT('Reverse DCF'!$C$8*(1+E$7)^ROW(INDIRECT("1:"&amp;'Reverse DCF'!$C$15)),(1/(1+$B11))^ROW(INDIRECT("1:"&amp;'Reverse DCF'!$C$15)))+'Reverse DCF'!$C$8*(1+E$7)^'Reverse DCF'!$C$15*(1+'Reverse DCF'!$C$14)/($B11-'Reverse DCF'!$C$14)/(1+$B11)^'Reverse DCF'!$C$15-'Reverse DCF'!$C$10)/'Reverse DCF'!$C$9,"N/A")</f>
        <v/>
      </c>
      <c r="F11" s="22">
        <f>IFERROR((SUMPRODUCT('Reverse DCF'!$C$8*(1+F$7)^ROW(INDIRECT("1:"&amp;'Reverse DCF'!$C$15)),(1/(1+$B11))^ROW(INDIRECT("1:"&amp;'Reverse DCF'!$C$15)))+'Reverse DCF'!$C$8*(1+F$7)^'Reverse DCF'!$C$15*(1+'Reverse DCF'!$C$14)/($B11-'Reverse DCF'!$C$14)/(1+$B11)^'Reverse DCF'!$C$15-'Reverse DCF'!$C$10)/'Reverse DCF'!$C$9,"N/A")</f>
        <v/>
      </c>
      <c r="G11" s="22">
        <f>IFERROR((SUMPRODUCT('Reverse DCF'!$C$8*(1+G$7)^ROW(INDIRECT("1:"&amp;'Reverse DCF'!$C$15)),(1/(1+$B11))^ROW(INDIRECT("1:"&amp;'Reverse DCF'!$C$15)))+'Reverse DCF'!$C$8*(1+G$7)^'Reverse DCF'!$C$15*(1+'Reverse DCF'!$C$14)/($B11-'Reverse DCF'!$C$14)/(1+$B11)^'Reverse DCF'!$C$15-'Reverse DCF'!$C$10)/'Reverse DCF'!$C$9,"N/A")</f>
        <v/>
      </c>
      <c r="H11" s="22">
        <f>IFERROR((SUMPRODUCT('Reverse DCF'!$C$8*(1+H$7)^ROW(INDIRECT("1:"&amp;'Reverse DCF'!$C$15)),(1/(1+$B11))^ROW(INDIRECT("1:"&amp;'Reverse DCF'!$C$15)))+'Reverse DCF'!$C$8*(1+H$7)^'Reverse DCF'!$C$15*(1+'Reverse DCF'!$C$14)/($B11-'Reverse DCF'!$C$14)/(1+$B11)^'Reverse DCF'!$C$15-'Reverse DCF'!$C$10)/'Reverse DCF'!$C$9,"N/A")</f>
        <v/>
      </c>
      <c r="I11" s="22">
        <f>IFERROR((SUMPRODUCT('Reverse DCF'!$C$8*(1+I$7)^ROW(INDIRECT("1:"&amp;'Reverse DCF'!$C$15)),(1/(1+$B11))^ROW(INDIRECT("1:"&amp;'Reverse DCF'!$C$15)))+'Reverse DCF'!$C$8*(1+I$7)^'Reverse DCF'!$C$15*(1+'Reverse DCF'!$C$14)/($B11-'Reverse DCF'!$C$14)/(1+$B11)^'Reverse DCF'!$C$15-'Reverse DCF'!$C$10)/'Reverse DCF'!$C$9,"N/A")</f>
        <v/>
      </c>
      <c r="J11" s="22">
        <f>IFERROR((SUMPRODUCT('Reverse DCF'!$C$8*(1+J$7)^ROW(INDIRECT("1:"&amp;'Reverse DCF'!$C$15)),(1/(1+$B11))^ROW(INDIRECT("1:"&amp;'Reverse DCF'!$C$15)))+'Reverse DCF'!$C$8*(1+J$7)^'Reverse DCF'!$C$15*(1+'Reverse DCF'!$C$14)/($B11-'Reverse DCF'!$C$14)/(1+$B11)^'Reverse DCF'!$C$15-'Reverse DCF'!$C$10)/'Reverse DCF'!$C$9,"N/A")</f>
        <v/>
      </c>
      <c r="K11" s="22">
        <f>IFERROR((SUMPRODUCT('Reverse DCF'!$C$8*(1+K$7)^ROW(INDIRECT("1:"&amp;'Reverse DCF'!$C$15)),(1/(1+$B11))^ROW(INDIRECT("1:"&amp;'Reverse DCF'!$C$15)))+'Reverse DCF'!$C$8*(1+K$7)^'Reverse DCF'!$C$15*(1+'Reverse DCF'!$C$14)/($B11-'Reverse DCF'!$C$14)/(1+$B11)^'Reverse DCF'!$C$15-'Reverse DCF'!$C$10)/'Reverse DCF'!$C$9,"N/A")</f>
        <v/>
      </c>
      <c r="L11" s="22">
        <f>IFERROR((SUMPRODUCT('Reverse DCF'!$C$8*(1+L$7)^ROW(INDIRECT("1:"&amp;'Reverse DCF'!$C$15)),(1/(1+$B11))^ROW(INDIRECT("1:"&amp;'Reverse DCF'!$C$15)))+'Reverse DCF'!$C$8*(1+L$7)^'Reverse DCF'!$C$15*(1+'Reverse DCF'!$C$14)/($B11-'Reverse DCF'!$C$14)/(1+$B11)^'Reverse DCF'!$C$15-'Reverse DCF'!$C$10)/'Reverse DCF'!$C$9,"N/A")</f>
        <v/>
      </c>
    </row>
    <row r="12" ht="20" customHeight="1">
      <c r="B12" s="18" t="inlineStr">
        <is>
          <t>12%</t>
        </is>
      </c>
      <c r="C12" s="20">
        <f>IFERROR((SUMPRODUCT('Reverse DCF'!$C$8*(1+C$7)^ROW(INDIRECT("1:"&amp;'Reverse DCF'!$C$15)),(1/(1+$B12))^ROW(INDIRECT("1:"&amp;'Reverse DCF'!$C$15)))+'Reverse DCF'!$C$8*(1+C$7)^'Reverse DCF'!$C$15*(1+'Reverse DCF'!$C$14)/($B12-'Reverse DCF'!$C$14)/(1+$B12)^'Reverse DCF'!$C$15-'Reverse DCF'!$C$10)/'Reverse DCF'!$C$9,"N/A")</f>
        <v/>
      </c>
      <c r="D12" s="20">
        <f>IFERROR((SUMPRODUCT('Reverse DCF'!$C$8*(1+D$7)^ROW(INDIRECT("1:"&amp;'Reverse DCF'!$C$15)),(1/(1+$B12))^ROW(INDIRECT("1:"&amp;'Reverse DCF'!$C$15)))+'Reverse DCF'!$C$8*(1+D$7)^'Reverse DCF'!$C$15*(1+'Reverse DCF'!$C$14)/($B12-'Reverse DCF'!$C$14)/(1+$B12)^'Reverse DCF'!$C$15-'Reverse DCF'!$C$10)/'Reverse DCF'!$C$9,"N/A")</f>
        <v/>
      </c>
      <c r="E12" s="20">
        <f>IFERROR((SUMPRODUCT('Reverse DCF'!$C$8*(1+E$7)^ROW(INDIRECT("1:"&amp;'Reverse DCF'!$C$15)),(1/(1+$B12))^ROW(INDIRECT("1:"&amp;'Reverse DCF'!$C$15)))+'Reverse DCF'!$C$8*(1+E$7)^'Reverse DCF'!$C$15*(1+'Reverse DCF'!$C$14)/($B12-'Reverse DCF'!$C$14)/(1+$B12)^'Reverse DCF'!$C$15-'Reverse DCF'!$C$10)/'Reverse DCF'!$C$9,"N/A")</f>
        <v/>
      </c>
      <c r="F12" s="20">
        <f>IFERROR((SUMPRODUCT('Reverse DCF'!$C$8*(1+F$7)^ROW(INDIRECT("1:"&amp;'Reverse DCF'!$C$15)),(1/(1+$B12))^ROW(INDIRECT("1:"&amp;'Reverse DCF'!$C$15)))+'Reverse DCF'!$C$8*(1+F$7)^'Reverse DCF'!$C$15*(1+'Reverse DCF'!$C$14)/($B12-'Reverse DCF'!$C$14)/(1+$B12)^'Reverse DCF'!$C$15-'Reverse DCF'!$C$10)/'Reverse DCF'!$C$9,"N/A")</f>
        <v/>
      </c>
      <c r="G12" s="20">
        <f>IFERROR((SUMPRODUCT('Reverse DCF'!$C$8*(1+G$7)^ROW(INDIRECT("1:"&amp;'Reverse DCF'!$C$15)),(1/(1+$B12))^ROW(INDIRECT("1:"&amp;'Reverse DCF'!$C$15)))+'Reverse DCF'!$C$8*(1+G$7)^'Reverse DCF'!$C$15*(1+'Reverse DCF'!$C$14)/($B12-'Reverse DCF'!$C$14)/(1+$B12)^'Reverse DCF'!$C$15-'Reverse DCF'!$C$10)/'Reverse DCF'!$C$9,"N/A")</f>
        <v/>
      </c>
      <c r="H12" s="20">
        <f>IFERROR((SUMPRODUCT('Reverse DCF'!$C$8*(1+H$7)^ROW(INDIRECT("1:"&amp;'Reverse DCF'!$C$15)),(1/(1+$B12))^ROW(INDIRECT("1:"&amp;'Reverse DCF'!$C$15)))+'Reverse DCF'!$C$8*(1+H$7)^'Reverse DCF'!$C$15*(1+'Reverse DCF'!$C$14)/($B12-'Reverse DCF'!$C$14)/(1+$B12)^'Reverse DCF'!$C$15-'Reverse DCF'!$C$10)/'Reverse DCF'!$C$9,"N/A")</f>
        <v/>
      </c>
      <c r="I12" s="20">
        <f>IFERROR((SUMPRODUCT('Reverse DCF'!$C$8*(1+I$7)^ROW(INDIRECT("1:"&amp;'Reverse DCF'!$C$15)),(1/(1+$B12))^ROW(INDIRECT("1:"&amp;'Reverse DCF'!$C$15)))+'Reverse DCF'!$C$8*(1+I$7)^'Reverse DCF'!$C$15*(1+'Reverse DCF'!$C$14)/($B12-'Reverse DCF'!$C$14)/(1+$B12)^'Reverse DCF'!$C$15-'Reverse DCF'!$C$10)/'Reverse DCF'!$C$9,"N/A")</f>
        <v/>
      </c>
      <c r="J12" s="20">
        <f>IFERROR((SUMPRODUCT('Reverse DCF'!$C$8*(1+J$7)^ROW(INDIRECT("1:"&amp;'Reverse DCF'!$C$15)),(1/(1+$B12))^ROW(INDIRECT("1:"&amp;'Reverse DCF'!$C$15)))+'Reverse DCF'!$C$8*(1+J$7)^'Reverse DCF'!$C$15*(1+'Reverse DCF'!$C$14)/($B12-'Reverse DCF'!$C$14)/(1+$B12)^'Reverse DCF'!$C$15-'Reverse DCF'!$C$10)/'Reverse DCF'!$C$9,"N/A")</f>
        <v/>
      </c>
      <c r="K12" s="20">
        <f>IFERROR((SUMPRODUCT('Reverse DCF'!$C$8*(1+K$7)^ROW(INDIRECT("1:"&amp;'Reverse DCF'!$C$15)),(1/(1+$B12))^ROW(INDIRECT("1:"&amp;'Reverse DCF'!$C$15)))+'Reverse DCF'!$C$8*(1+K$7)^'Reverse DCF'!$C$15*(1+'Reverse DCF'!$C$14)/($B12-'Reverse DCF'!$C$14)/(1+$B12)^'Reverse DCF'!$C$15-'Reverse DCF'!$C$10)/'Reverse DCF'!$C$9,"N/A")</f>
        <v/>
      </c>
      <c r="L12" s="20">
        <f>IFERROR((SUMPRODUCT('Reverse DCF'!$C$8*(1+L$7)^ROW(INDIRECT("1:"&amp;'Reverse DCF'!$C$15)),(1/(1+$B12))^ROW(INDIRECT("1:"&amp;'Reverse DCF'!$C$15)))+'Reverse DCF'!$C$8*(1+L$7)^'Reverse DCF'!$C$15*(1+'Reverse DCF'!$C$14)/($B12-'Reverse DCF'!$C$14)/(1+$B12)^'Reverse DCF'!$C$15-'Reverse DCF'!$C$10)/'Reverse DCF'!$C$9,"N/A")</f>
        <v/>
      </c>
    </row>
    <row r="13" ht="20" customHeight="1">
      <c r="B13" s="18" t="inlineStr">
        <is>
          <t>13%</t>
        </is>
      </c>
      <c r="C13" s="22">
        <f>IFERROR((SUMPRODUCT('Reverse DCF'!$C$8*(1+C$7)^ROW(INDIRECT("1:"&amp;'Reverse DCF'!$C$15)),(1/(1+$B13))^ROW(INDIRECT("1:"&amp;'Reverse DCF'!$C$15)))+'Reverse DCF'!$C$8*(1+C$7)^'Reverse DCF'!$C$15*(1+'Reverse DCF'!$C$14)/($B13-'Reverse DCF'!$C$14)/(1+$B13)^'Reverse DCF'!$C$15-'Reverse DCF'!$C$10)/'Reverse DCF'!$C$9,"N/A")</f>
        <v/>
      </c>
      <c r="D13" s="22">
        <f>IFERROR((SUMPRODUCT('Reverse DCF'!$C$8*(1+D$7)^ROW(INDIRECT("1:"&amp;'Reverse DCF'!$C$15)),(1/(1+$B13))^ROW(INDIRECT("1:"&amp;'Reverse DCF'!$C$15)))+'Reverse DCF'!$C$8*(1+D$7)^'Reverse DCF'!$C$15*(1+'Reverse DCF'!$C$14)/($B13-'Reverse DCF'!$C$14)/(1+$B13)^'Reverse DCF'!$C$15-'Reverse DCF'!$C$10)/'Reverse DCF'!$C$9,"N/A")</f>
        <v/>
      </c>
      <c r="E13" s="22">
        <f>IFERROR((SUMPRODUCT('Reverse DCF'!$C$8*(1+E$7)^ROW(INDIRECT("1:"&amp;'Reverse DCF'!$C$15)),(1/(1+$B13))^ROW(INDIRECT("1:"&amp;'Reverse DCF'!$C$15)))+'Reverse DCF'!$C$8*(1+E$7)^'Reverse DCF'!$C$15*(1+'Reverse DCF'!$C$14)/($B13-'Reverse DCF'!$C$14)/(1+$B13)^'Reverse DCF'!$C$15-'Reverse DCF'!$C$10)/'Reverse DCF'!$C$9,"N/A")</f>
        <v/>
      </c>
      <c r="F13" s="22">
        <f>IFERROR((SUMPRODUCT('Reverse DCF'!$C$8*(1+F$7)^ROW(INDIRECT("1:"&amp;'Reverse DCF'!$C$15)),(1/(1+$B13))^ROW(INDIRECT("1:"&amp;'Reverse DCF'!$C$15)))+'Reverse DCF'!$C$8*(1+F$7)^'Reverse DCF'!$C$15*(1+'Reverse DCF'!$C$14)/($B13-'Reverse DCF'!$C$14)/(1+$B13)^'Reverse DCF'!$C$15-'Reverse DCF'!$C$10)/'Reverse DCF'!$C$9,"N/A")</f>
        <v/>
      </c>
      <c r="G13" s="22">
        <f>IFERROR((SUMPRODUCT('Reverse DCF'!$C$8*(1+G$7)^ROW(INDIRECT("1:"&amp;'Reverse DCF'!$C$15)),(1/(1+$B13))^ROW(INDIRECT("1:"&amp;'Reverse DCF'!$C$15)))+'Reverse DCF'!$C$8*(1+G$7)^'Reverse DCF'!$C$15*(1+'Reverse DCF'!$C$14)/($B13-'Reverse DCF'!$C$14)/(1+$B13)^'Reverse DCF'!$C$15-'Reverse DCF'!$C$10)/'Reverse DCF'!$C$9,"N/A")</f>
        <v/>
      </c>
      <c r="H13" s="22">
        <f>IFERROR((SUMPRODUCT('Reverse DCF'!$C$8*(1+H$7)^ROW(INDIRECT("1:"&amp;'Reverse DCF'!$C$15)),(1/(1+$B13))^ROW(INDIRECT("1:"&amp;'Reverse DCF'!$C$15)))+'Reverse DCF'!$C$8*(1+H$7)^'Reverse DCF'!$C$15*(1+'Reverse DCF'!$C$14)/($B13-'Reverse DCF'!$C$14)/(1+$B13)^'Reverse DCF'!$C$15-'Reverse DCF'!$C$10)/'Reverse DCF'!$C$9,"N/A")</f>
        <v/>
      </c>
      <c r="I13" s="22">
        <f>IFERROR((SUMPRODUCT('Reverse DCF'!$C$8*(1+I$7)^ROW(INDIRECT("1:"&amp;'Reverse DCF'!$C$15)),(1/(1+$B13))^ROW(INDIRECT("1:"&amp;'Reverse DCF'!$C$15)))+'Reverse DCF'!$C$8*(1+I$7)^'Reverse DCF'!$C$15*(1+'Reverse DCF'!$C$14)/($B13-'Reverse DCF'!$C$14)/(1+$B13)^'Reverse DCF'!$C$15-'Reverse DCF'!$C$10)/'Reverse DCF'!$C$9,"N/A")</f>
        <v/>
      </c>
      <c r="J13" s="22">
        <f>IFERROR((SUMPRODUCT('Reverse DCF'!$C$8*(1+J$7)^ROW(INDIRECT("1:"&amp;'Reverse DCF'!$C$15)),(1/(1+$B13))^ROW(INDIRECT("1:"&amp;'Reverse DCF'!$C$15)))+'Reverse DCF'!$C$8*(1+J$7)^'Reverse DCF'!$C$15*(1+'Reverse DCF'!$C$14)/($B13-'Reverse DCF'!$C$14)/(1+$B13)^'Reverse DCF'!$C$15-'Reverse DCF'!$C$10)/'Reverse DCF'!$C$9,"N/A")</f>
        <v/>
      </c>
      <c r="K13" s="22">
        <f>IFERROR((SUMPRODUCT('Reverse DCF'!$C$8*(1+K$7)^ROW(INDIRECT("1:"&amp;'Reverse DCF'!$C$15)),(1/(1+$B13))^ROW(INDIRECT("1:"&amp;'Reverse DCF'!$C$15)))+'Reverse DCF'!$C$8*(1+K$7)^'Reverse DCF'!$C$15*(1+'Reverse DCF'!$C$14)/($B13-'Reverse DCF'!$C$14)/(1+$B13)^'Reverse DCF'!$C$15-'Reverse DCF'!$C$10)/'Reverse DCF'!$C$9,"N/A")</f>
        <v/>
      </c>
      <c r="L13" s="22">
        <f>IFERROR((SUMPRODUCT('Reverse DCF'!$C$8*(1+L$7)^ROW(INDIRECT("1:"&amp;'Reverse DCF'!$C$15)),(1/(1+$B13))^ROW(INDIRECT("1:"&amp;'Reverse DCF'!$C$15)))+'Reverse DCF'!$C$8*(1+L$7)^'Reverse DCF'!$C$15*(1+'Reverse DCF'!$C$14)/($B13-'Reverse DCF'!$C$14)/(1+$B13)^'Reverse DCF'!$C$15-'Reverse DCF'!$C$10)/'Reverse DCF'!$C$9,"N/A")</f>
        <v/>
      </c>
    </row>
    <row r="14" ht="20" customHeight="1">
      <c r="B14" s="18" t="inlineStr">
        <is>
          <t>14%</t>
        </is>
      </c>
      <c r="C14" s="20">
        <f>IFERROR((SUMPRODUCT('Reverse DCF'!$C$8*(1+C$7)^ROW(INDIRECT("1:"&amp;'Reverse DCF'!$C$15)),(1/(1+$B14))^ROW(INDIRECT("1:"&amp;'Reverse DCF'!$C$15)))+'Reverse DCF'!$C$8*(1+C$7)^'Reverse DCF'!$C$15*(1+'Reverse DCF'!$C$14)/($B14-'Reverse DCF'!$C$14)/(1+$B14)^'Reverse DCF'!$C$15-'Reverse DCF'!$C$10)/'Reverse DCF'!$C$9,"N/A")</f>
        <v/>
      </c>
      <c r="D14" s="20">
        <f>IFERROR((SUMPRODUCT('Reverse DCF'!$C$8*(1+D$7)^ROW(INDIRECT("1:"&amp;'Reverse DCF'!$C$15)),(1/(1+$B14))^ROW(INDIRECT("1:"&amp;'Reverse DCF'!$C$15)))+'Reverse DCF'!$C$8*(1+D$7)^'Reverse DCF'!$C$15*(1+'Reverse DCF'!$C$14)/($B14-'Reverse DCF'!$C$14)/(1+$B14)^'Reverse DCF'!$C$15-'Reverse DCF'!$C$10)/'Reverse DCF'!$C$9,"N/A")</f>
        <v/>
      </c>
      <c r="E14" s="20">
        <f>IFERROR((SUMPRODUCT('Reverse DCF'!$C$8*(1+E$7)^ROW(INDIRECT("1:"&amp;'Reverse DCF'!$C$15)),(1/(1+$B14))^ROW(INDIRECT("1:"&amp;'Reverse DCF'!$C$15)))+'Reverse DCF'!$C$8*(1+E$7)^'Reverse DCF'!$C$15*(1+'Reverse DCF'!$C$14)/($B14-'Reverse DCF'!$C$14)/(1+$B14)^'Reverse DCF'!$C$15-'Reverse DCF'!$C$10)/'Reverse DCF'!$C$9,"N/A")</f>
        <v/>
      </c>
      <c r="F14" s="20">
        <f>IFERROR((SUMPRODUCT('Reverse DCF'!$C$8*(1+F$7)^ROW(INDIRECT("1:"&amp;'Reverse DCF'!$C$15)),(1/(1+$B14))^ROW(INDIRECT("1:"&amp;'Reverse DCF'!$C$15)))+'Reverse DCF'!$C$8*(1+F$7)^'Reverse DCF'!$C$15*(1+'Reverse DCF'!$C$14)/($B14-'Reverse DCF'!$C$14)/(1+$B14)^'Reverse DCF'!$C$15-'Reverse DCF'!$C$10)/'Reverse DCF'!$C$9,"N/A")</f>
        <v/>
      </c>
      <c r="G14" s="20">
        <f>IFERROR((SUMPRODUCT('Reverse DCF'!$C$8*(1+G$7)^ROW(INDIRECT("1:"&amp;'Reverse DCF'!$C$15)),(1/(1+$B14))^ROW(INDIRECT("1:"&amp;'Reverse DCF'!$C$15)))+'Reverse DCF'!$C$8*(1+G$7)^'Reverse DCF'!$C$15*(1+'Reverse DCF'!$C$14)/($B14-'Reverse DCF'!$C$14)/(1+$B14)^'Reverse DCF'!$C$15-'Reverse DCF'!$C$10)/'Reverse DCF'!$C$9,"N/A")</f>
        <v/>
      </c>
      <c r="H14" s="20">
        <f>IFERROR((SUMPRODUCT('Reverse DCF'!$C$8*(1+H$7)^ROW(INDIRECT("1:"&amp;'Reverse DCF'!$C$15)),(1/(1+$B14))^ROW(INDIRECT("1:"&amp;'Reverse DCF'!$C$15)))+'Reverse DCF'!$C$8*(1+H$7)^'Reverse DCF'!$C$15*(1+'Reverse DCF'!$C$14)/($B14-'Reverse DCF'!$C$14)/(1+$B14)^'Reverse DCF'!$C$15-'Reverse DCF'!$C$10)/'Reverse DCF'!$C$9,"N/A")</f>
        <v/>
      </c>
      <c r="I14" s="20">
        <f>IFERROR((SUMPRODUCT('Reverse DCF'!$C$8*(1+I$7)^ROW(INDIRECT("1:"&amp;'Reverse DCF'!$C$15)),(1/(1+$B14))^ROW(INDIRECT("1:"&amp;'Reverse DCF'!$C$15)))+'Reverse DCF'!$C$8*(1+I$7)^'Reverse DCF'!$C$15*(1+'Reverse DCF'!$C$14)/($B14-'Reverse DCF'!$C$14)/(1+$B14)^'Reverse DCF'!$C$15-'Reverse DCF'!$C$10)/'Reverse DCF'!$C$9,"N/A")</f>
        <v/>
      </c>
      <c r="J14" s="20">
        <f>IFERROR((SUMPRODUCT('Reverse DCF'!$C$8*(1+J$7)^ROW(INDIRECT("1:"&amp;'Reverse DCF'!$C$15)),(1/(1+$B14))^ROW(INDIRECT("1:"&amp;'Reverse DCF'!$C$15)))+'Reverse DCF'!$C$8*(1+J$7)^'Reverse DCF'!$C$15*(1+'Reverse DCF'!$C$14)/($B14-'Reverse DCF'!$C$14)/(1+$B14)^'Reverse DCF'!$C$15-'Reverse DCF'!$C$10)/'Reverse DCF'!$C$9,"N/A")</f>
        <v/>
      </c>
      <c r="K14" s="20">
        <f>IFERROR((SUMPRODUCT('Reverse DCF'!$C$8*(1+K$7)^ROW(INDIRECT("1:"&amp;'Reverse DCF'!$C$15)),(1/(1+$B14))^ROW(INDIRECT("1:"&amp;'Reverse DCF'!$C$15)))+'Reverse DCF'!$C$8*(1+K$7)^'Reverse DCF'!$C$15*(1+'Reverse DCF'!$C$14)/($B14-'Reverse DCF'!$C$14)/(1+$B14)^'Reverse DCF'!$C$15-'Reverse DCF'!$C$10)/'Reverse DCF'!$C$9,"N/A")</f>
        <v/>
      </c>
      <c r="L14" s="20">
        <f>IFERROR((SUMPRODUCT('Reverse DCF'!$C$8*(1+L$7)^ROW(INDIRECT("1:"&amp;'Reverse DCF'!$C$15)),(1/(1+$B14))^ROW(INDIRECT("1:"&amp;'Reverse DCF'!$C$15)))+'Reverse DCF'!$C$8*(1+L$7)^'Reverse DCF'!$C$15*(1+'Reverse DCF'!$C$14)/($B14-'Reverse DCF'!$C$14)/(1+$B14)^'Reverse DCF'!$C$15-'Reverse DCF'!$C$10)/'Reverse DCF'!$C$9,"N/A")</f>
        <v/>
      </c>
    </row>
    <row r="15" ht="20" customHeight="1">
      <c r="B15" s="18" t="inlineStr">
        <is>
          <t>15%</t>
        </is>
      </c>
      <c r="C15" s="22">
        <f>IFERROR((SUMPRODUCT('Reverse DCF'!$C$8*(1+C$7)^ROW(INDIRECT("1:"&amp;'Reverse DCF'!$C$15)),(1/(1+$B15))^ROW(INDIRECT("1:"&amp;'Reverse DCF'!$C$15)))+'Reverse DCF'!$C$8*(1+C$7)^'Reverse DCF'!$C$15*(1+'Reverse DCF'!$C$14)/($B15-'Reverse DCF'!$C$14)/(1+$B15)^'Reverse DCF'!$C$15-'Reverse DCF'!$C$10)/'Reverse DCF'!$C$9,"N/A")</f>
        <v/>
      </c>
      <c r="D15" s="22">
        <f>IFERROR((SUMPRODUCT('Reverse DCF'!$C$8*(1+D$7)^ROW(INDIRECT("1:"&amp;'Reverse DCF'!$C$15)),(1/(1+$B15))^ROW(INDIRECT("1:"&amp;'Reverse DCF'!$C$15)))+'Reverse DCF'!$C$8*(1+D$7)^'Reverse DCF'!$C$15*(1+'Reverse DCF'!$C$14)/($B15-'Reverse DCF'!$C$14)/(1+$B15)^'Reverse DCF'!$C$15-'Reverse DCF'!$C$10)/'Reverse DCF'!$C$9,"N/A")</f>
        <v/>
      </c>
      <c r="E15" s="22">
        <f>IFERROR((SUMPRODUCT('Reverse DCF'!$C$8*(1+E$7)^ROW(INDIRECT("1:"&amp;'Reverse DCF'!$C$15)),(1/(1+$B15))^ROW(INDIRECT("1:"&amp;'Reverse DCF'!$C$15)))+'Reverse DCF'!$C$8*(1+E$7)^'Reverse DCF'!$C$15*(1+'Reverse DCF'!$C$14)/($B15-'Reverse DCF'!$C$14)/(1+$B15)^'Reverse DCF'!$C$15-'Reverse DCF'!$C$10)/'Reverse DCF'!$C$9,"N/A")</f>
        <v/>
      </c>
      <c r="F15" s="22">
        <f>IFERROR((SUMPRODUCT('Reverse DCF'!$C$8*(1+F$7)^ROW(INDIRECT("1:"&amp;'Reverse DCF'!$C$15)),(1/(1+$B15))^ROW(INDIRECT("1:"&amp;'Reverse DCF'!$C$15)))+'Reverse DCF'!$C$8*(1+F$7)^'Reverse DCF'!$C$15*(1+'Reverse DCF'!$C$14)/($B15-'Reverse DCF'!$C$14)/(1+$B15)^'Reverse DCF'!$C$15-'Reverse DCF'!$C$10)/'Reverse DCF'!$C$9,"N/A")</f>
        <v/>
      </c>
      <c r="G15" s="22">
        <f>IFERROR((SUMPRODUCT('Reverse DCF'!$C$8*(1+G$7)^ROW(INDIRECT("1:"&amp;'Reverse DCF'!$C$15)),(1/(1+$B15))^ROW(INDIRECT("1:"&amp;'Reverse DCF'!$C$15)))+'Reverse DCF'!$C$8*(1+G$7)^'Reverse DCF'!$C$15*(1+'Reverse DCF'!$C$14)/($B15-'Reverse DCF'!$C$14)/(1+$B15)^'Reverse DCF'!$C$15-'Reverse DCF'!$C$10)/'Reverse DCF'!$C$9,"N/A")</f>
        <v/>
      </c>
      <c r="H15" s="22">
        <f>IFERROR((SUMPRODUCT('Reverse DCF'!$C$8*(1+H$7)^ROW(INDIRECT("1:"&amp;'Reverse DCF'!$C$15)),(1/(1+$B15))^ROW(INDIRECT("1:"&amp;'Reverse DCF'!$C$15)))+'Reverse DCF'!$C$8*(1+H$7)^'Reverse DCF'!$C$15*(1+'Reverse DCF'!$C$14)/($B15-'Reverse DCF'!$C$14)/(1+$B15)^'Reverse DCF'!$C$15-'Reverse DCF'!$C$10)/'Reverse DCF'!$C$9,"N/A")</f>
        <v/>
      </c>
      <c r="I15" s="22">
        <f>IFERROR((SUMPRODUCT('Reverse DCF'!$C$8*(1+I$7)^ROW(INDIRECT("1:"&amp;'Reverse DCF'!$C$15)),(1/(1+$B15))^ROW(INDIRECT("1:"&amp;'Reverse DCF'!$C$15)))+'Reverse DCF'!$C$8*(1+I$7)^'Reverse DCF'!$C$15*(1+'Reverse DCF'!$C$14)/($B15-'Reverse DCF'!$C$14)/(1+$B15)^'Reverse DCF'!$C$15-'Reverse DCF'!$C$10)/'Reverse DCF'!$C$9,"N/A")</f>
        <v/>
      </c>
      <c r="J15" s="22">
        <f>IFERROR((SUMPRODUCT('Reverse DCF'!$C$8*(1+J$7)^ROW(INDIRECT("1:"&amp;'Reverse DCF'!$C$15)),(1/(1+$B15))^ROW(INDIRECT("1:"&amp;'Reverse DCF'!$C$15)))+'Reverse DCF'!$C$8*(1+J$7)^'Reverse DCF'!$C$15*(1+'Reverse DCF'!$C$14)/($B15-'Reverse DCF'!$C$14)/(1+$B15)^'Reverse DCF'!$C$15-'Reverse DCF'!$C$10)/'Reverse DCF'!$C$9,"N/A")</f>
        <v/>
      </c>
      <c r="K15" s="22">
        <f>IFERROR((SUMPRODUCT('Reverse DCF'!$C$8*(1+K$7)^ROW(INDIRECT("1:"&amp;'Reverse DCF'!$C$15)),(1/(1+$B15))^ROW(INDIRECT("1:"&amp;'Reverse DCF'!$C$15)))+'Reverse DCF'!$C$8*(1+K$7)^'Reverse DCF'!$C$15*(1+'Reverse DCF'!$C$14)/($B15-'Reverse DCF'!$C$14)/(1+$B15)^'Reverse DCF'!$C$15-'Reverse DCF'!$C$10)/'Reverse DCF'!$C$9,"N/A")</f>
        <v/>
      </c>
      <c r="L15" s="22">
        <f>IFERROR((SUMPRODUCT('Reverse DCF'!$C$8*(1+L$7)^ROW(INDIRECT("1:"&amp;'Reverse DCF'!$C$15)),(1/(1+$B15))^ROW(INDIRECT("1:"&amp;'Reverse DCF'!$C$15)))+'Reverse DCF'!$C$8*(1+L$7)^'Reverse DCF'!$C$15*(1+'Reverse DCF'!$C$14)/($B15-'Reverse DCF'!$C$14)/(1+$B15)^'Reverse DCF'!$C$15-'Reverse DCF'!$C$10)/'Reverse DCF'!$C$9,"N/A")</f>
        <v/>
      </c>
    </row>
    <row r="16" ht="20" customHeight="1">
      <c r="B16" s="18" t="inlineStr">
        <is>
          <t>16%</t>
        </is>
      </c>
      <c r="C16" s="20">
        <f>IFERROR((SUMPRODUCT('Reverse DCF'!$C$8*(1+C$7)^ROW(INDIRECT("1:"&amp;'Reverse DCF'!$C$15)),(1/(1+$B16))^ROW(INDIRECT("1:"&amp;'Reverse DCF'!$C$15)))+'Reverse DCF'!$C$8*(1+C$7)^'Reverse DCF'!$C$15*(1+'Reverse DCF'!$C$14)/($B16-'Reverse DCF'!$C$14)/(1+$B16)^'Reverse DCF'!$C$15-'Reverse DCF'!$C$10)/'Reverse DCF'!$C$9,"N/A")</f>
        <v/>
      </c>
      <c r="D16" s="20">
        <f>IFERROR((SUMPRODUCT('Reverse DCF'!$C$8*(1+D$7)^ROW(INDIRECT("1:"&amp;'Reverse DCF'!$C$15)),(1/(1+$B16))^ROW(INDIRECT("1:"&amp;'Reverse DCF'!$C$15)))+'Reverse DCF'!$C$8*(1+D$7)^'Reverse DCF'!$C$15*(1+'Reverse DCF'!$C$14)/($B16-'Reverse DCF'!$C$14)/(1+$B16)^'Reverse DCF'!$C$15-'Reverse DCF'!$C$10)/'Reverse DCF'!$C$9,"N/A")</f>
        <v/>
      </c>
      <c r="E16" s="20">
        <f>IFERROR((SUMPRODUCT('Reverse DCF'!$C$8*(1+E$7)^ROW(INDIRECT("1:"&amp;'Reverse DCF'!$C$15)),(1/(1+$B16))^ROW(INDIRECT("1:"&amp;'Reverse DCF'!$C$15)))+'Reverse DCF'!$C$8*(1+E$7)^'Reverse DCF'!$C$15*(1+'Reverse DCF'!$C$14)/($B16-'Reverse DCF'!$C$14)/(1+$B16)^'Reverse DCF'!$C$15-'Reverse DCF'!$C$10)/'Reverse DCF'!$C$9,"N/A")</f>
        <v/>
      </c>
      <c r="F16" s="20">
        <f>IFERROR((SUMPRODUCT('Reverse DCF'!$C$8*(1+F$7)^ROW(INDIRECT("1:"&amp;'Reverse DCF'!$C$15)),(1/(1+$B16))^ROW(INDIRECT("1:"&amp;'Reverse DCF'!$C$15)))+'Reverse DCF'!$C$8*(1+F$7)^'Reverse DCF'!$C$15*(1+'Reverse DCF'!$C$14)/($B16-'Reverse DCF'!$C$14)/(1+$B16)^'Reverse DCF'!$C$15-'Reverse DCF'!$C$10)/'Reverse DCF'!$C$9,"N/A")</f>
        <v/>
      </c>
      <c r="G16" s="20">
        <f>IFERROR((SUMPRODUCT('Reverse DCF'!$C$8*(1+G$7)^ROW(INDIRECT("1:"&amp;'Reverse DCF'!$C$15)),(1/(1+$B16))^ROW(INDIRECT("1:"&amp;'Reverse DCF'!$C$15)))+'Reverse DCF'!$C$8*(1+G$7)^'Reverse DCF'!$C$15*(1+'Reverse DCF'!$C$14)/($B16-'Reverse DCF'!$C$14)/(1+$B16)^'Reverse DCF'!$C$15-'Reverse DCF'!$C$10)/'Reverse DCF'!$C$9,"N/A")</f>
        <v/>
      </c>
      <c r="H16" s="20">
        <f>IFERROR((SUMPRODUCT('Reverse DCF'!$C$8*(1+H$7)^ROW(INDIRECT("1:"&amp;'Reverse DCF'!$C$15)),(1/(1+$B16))^ROW(INDIRECT("1:"&amp;'Reverse DCF'!$C$15)))+'Reverse DCF'!$C$8*(1+H$7)^'Reverse DCF'!$C$15*(1+'Reverse DCF'!$C$14)/($B16-'Reverse DCF'!$C$14)/(1+$B16)^'Reverse DCF'!$C$15-'Reverse DCF'!$C$10)/'Reverse DCF'!$C$9,"N/A")</f>
        <v/>
      </c>
      <c r="I16" s="20">
        <f>IFERROR((SUMPRODUCT('Reverse DCF'!$C$8*(1+I$7)^ROW(INDIRECT("1:"&amp;'Reverse DCF'!$C$15)),(1/(1+$B16))^ROW(INDIRECT("1:"&amp;'Reverse DCF'!$C$15)))+'Reverse DCF'!$C$8*(1+I$7)^'Reverse DCF'!$C$15*(1+'Reverse DCF'!$C$14)/($B16-'Reverse DCF'!$C$14)/(1+$B16)^'Reverse DCF'!$C$15-'Reverse DCF'!$C$10)/'Reverse DCF'!$C$9,"N/A")</f>
        <v/>
      </c>
      <c r="J16" s="20">
        <f>IFERROR((SUMPRODUCT('Reverse DCF'!$C$8*(1+J$7)^ROW(INDIRECT("1:"&amp;'Reverse DCF'!$C$15)),(1/(1+$B16))^ROW(INDIRECT("1:"&amp;'Reverse DCF'!$C$15)))+'Reverse DCF'!$C$8*(1+J$7)^'Reverse DCF'!$C$15*(1+'Reverse DCF'!$C$14)/($B16-'Reverse DCF'!$C$14)/(1+$B16)^'Reverse DCF'!$C$15-'Reverse DCF'!$C$10)/'Reverse DCF'!$C$9,"N/A")</f>
        <v/>
      </c>
      <c r="K16" s="20">
        <f>IFERROR((SUMPRODUCT('Reverse DCF'!$C$8*(1+K$7)^ROW(INDIRECT("1:"&amp;'Reverse DCF'!$C$15)),(1/(1+$B16))^ROW(INDIRECT("1:"&amp;'Reverse DCF'!$C$15)))+'Reverse DCF'!$C$8*(1+K$7)^'Reverse DCF'!$C$15*(1+'Reverse DCF'!$C$14)/($B16-'Reverse DCF'!$C$14)/(1+$B16)^'Reverse DCF'!$C$15-'Reverse DCF'!$C$10)/'Reverse DCF'!$C$9,"N/A")</f>
        <v/>
      </c>
      <c r="L16" s="20">
        <f>IFERROR((SUMPRODUCT('Reverse DCF'!$C$8*(1+L$7)^ROW(INDIRECT("1:"&amp;'Reverse DCF'!$C$15)),(1/(1+$B16))^ROW(INDIRECT("1:"&amp;'Reverse DCF'!$C$15)))+'Reverse DCF'!$C$8*(1+L$7)^'Reverse DCF'!$C$15*(1+'Reverse DCF'!$C$14)/($B16-'Reverse DCF'!$C$14)/(1+$B16)^'Reverse DCF'!$C$15-'Reverse DCF'!$C$10)/'Reverse DCF'!$C$9,"N/A")</f>
        <v/>
      </c>
    </row>
    <row r="20" ht="20" customHeight="1">
      <c r="B20" s="7" t="inlineStr">
        <is>
          <t>SENSITIVITY: WACC vs TERMINAL GROWTH RATE  → Implied FCF Growth Rate</t>
        </is>
      </c>
      <c r="C20" s="2" t="n"/>
      <c r="D20" s="2" t="n"/>
      <c r="E20" s="2" t="n"/>
      <c r="F20" s="2" t="n"/>
      <c r="G20" s="2" t="n"/>
      <c r="H20" s="2" t="n"/>
      <c r="I20" s="3" t="n"/>
      <c r="J20" s="90" t="inlineStr">
        <is>
          <t>Note: values shown are approximate implied growth rates at the given WACC and terminal growth rate combinations, using the current stock price from the Reverse DCF sheet.</t>
        </is>
      </c>
    </row>
    <row r="21">
      <c r="B21" s="89" t="inlineStr">
        <is>
          <t>WACC ↓ / Term.G →</t>
        </is>
      </c>
      <c r="C21" s="7" t="inlineStr">
        <is>
          <t>2.0%</t>
        </is>
      </c>
      <c r="D21" s="7" t="inlineStr">
        <is>
          <t>2.5%</t>
        </is>
      </c>
      <c r="E21" s="7" t="inlineStr">
        <is>
          <t>3.0%</t>
        </is>
      </c>
      <c r="F21" s="7" t="inlineStr">
        <is>
          <t>3.5%</t>
        </is>
      </c>
      <c r="G21" s="7" t="inlineStr">
        <is>
          <t>4.0%</t>
        </is>
      </c>
      <c r="H21" s="7" t="inlineStr">
        <is>
          <t>4.5%</t>
        </is>
      </c>
      <c r="I21" s="7" t="inlineStr">
        <is>
          <t>5.0%</t>
        </is>
      </c>
    </row>
    <row r="22" ht="18" customHeight="1">
      <c r="B22" s="18" t="inlineStr">
        <is>
          <t>8%</t>
        </is>
      </c>
      <c r="C22" s="20">
        <f>IFERROR((SUMPRODUCT('Reverse DCF'!$C$8*(1+'Reverse DCF'!$C$19)^ROW(INDIRECT("1:"&amp;'Reverse DCF'!$C$15)),(1/(1+$B22))^ROW(INDIRECT("1:"&amp;'Reverse DCF'!$C$15)))+'Reverse DCF'!$C$8*(1+'Reverse DCF'!$C$19)^'Reverse DCF'!$C$15*(1+C$21)/($B22-C$21)/(1+$B22)^'Reverse DCF'!$C$15-'Reverse DCF'!$C$10)/'Reverse DCF'!$C$9,"N/A")</f>
        <v/>
      </c>
      <c r="D22" s="20">
        <f>IFERROR((SUMPRODUCT('Reverse DCF'!$C$8*(1+'Reverse DCF'!$C$19)^ROW(INDIRECT("1:"&amp;'Reverse DCF'!$C$15)),(1/(1+$B22))^ROW(INDIRECT("1:"&amp;'Reverse DCF'!$C$15)))+'Reverse DCF'!$C$8*(1+'Reverse DCF'!$C$19)^'Reverse DCF'!$C$15*(1+D$21)/($B22-D$21)/(1+$B22)^'Reverse DCF'!$C$15-'Reverse DCF'!$C$10)/'Reverse DCF'!$C$9,"N/A")</f>
        <v/>
      </c>
      <c r="E22" s="20">
        <f>IFERROR((SUMPRODUCT('Reverse DCF'!$C$8*(1+'Reverse DCF'!$C$19)^ROW(INDIRECT("1:"&amp;'Reverse DCF'!$C$15)),(1/(1+$B22))^ROW(INDIRECT("1:"&amp;'Reverse DCF'!$C$15)))+'Reverse DCF'!$C$8*(1+'Reverse DCF'!$C$19)^'Reverse DCF'!$C$15*(1+E$21)/($B22-E$21)/(1+$B22)^'Reverse DCF'!$C$15-'Reverse DCF'!$C$10)/'Reverse DCF'!$C$9,"N/A")</f>
        <v/>
      </c>
      <c r="F22" s="20">
        <f>IFERROR((SUMPRODUCT('Reverse DCF'!$C$8*(1+'Reverse DCF'!$C$19)^ROW(INDIRECT("1:"&amp;'Reverse DCF'!$C$15)),(1/(1+$B22))^ROW(INDIRECT("1:"&amp;'Reverse DCF'!$C$15)))+'Reverse DCF'!$C$8*(1+'Reverse DCF'!$C$19)^'Reverse DCF'!$C$15*(1+F$21)/($B22-F$21)/(1+$B22)^'Reverse DCF'!$C$15-'Reverse DCF'!$C$10)/'Reverse DCF'!$C$9,"N/A")</f>
        <v/>
      </c>
      <c r="G22" s="20">
        <f>IFERROR((SUMPRODUCT('Reverse DCF'!$C$8*(1+'Reverse DCF'!$C$19)^ROW(INDIRECT("1:"&amp;'Reverse DCF'!$C$15)),(1/(1+$B22))^ROW(INDIRECT("1:"&amp;'Reverse DCF'!$C$15)))+'Reverse DCF'!$C$8*(1+'Reverse DCF'!$C$19)^'Reverse DCF'!$C$15*(1+G$21)/($B22-G$21)/(1+$B22)^'Reverse DCF'!$C$15-'Reverse DCF'!$C$10)/'Reverse DCF'!$C$9,"N/A")</f>
        <v/>
      </c>
      <c r="H22" s="20">
        <f>IFERROR((SUMPRODUCT('Reverse DCF'!$C$8*(1+'Reverse DCF'!$C$19)^ROW(INDIRECT("1:"&amp;'Reverse DCF'!$C$15)),(1/(1+$B22))^ROW(INDIRECT("1:"&amp;'Reverse DCF'!$C$15)))+'Reverse DCF'!$C$8*(1+'Reverse DCF'!$C$19)^'Reverse DCF'!$C$15*(1+H$21)/($B22-H$21)/(1+$B22)^'Reverse DCF'!$C$15-'Reverse DCF'!$C$10)/'Reverse DCF'!$C$9,"N/A")</f>
        <v/>
      </c>
      <c r="I22" s="20">
        <f>IFERROR((SUMPRODUCT('Reverse DCF'!$C$8*(1+'Reverse DCF'!$C$19)^ROW(INDIRECT("1:"&amp;'Reverse DCF'!$C$15)),(1/(1+$B22))^ROW(INDIRECT("1:"&amp;'Reverse DCF'!$C$15)))+'Reverse DCF'!$C$8*(1+'Reverse DCF'!$C$19)^'Reverse DCF'!$C$15*(1+I$21)/($B22-I$21)/(1+$B22)^'Reverse DCF'!$C$15-'Reverse DCF'!$C$10)/'Reverse DCF'!$C$9,"N/A")</f>
        <v/>
      </c>
    </row>
    <row r="23" ht="18" customHeight="1">
      <c r="B23" s="18" t="inlineStr">
        <is>
          <t>9%</t>
        </is>
      </c>
      <c r="C23" s="22">
        <f>IFERROR((SUMPRODUCT('Reverse DCF'!$C$8*(1+'Reverse DCF'!$C$19)^ROW(INDIRECT("1:"&amp;'Reverse DCF'!$C$15)),(1/(1+$B23))^ROW(INDIRECT("1:"&amp;'Reverse DCF'!$C$15)))+'Reverse DCF'!$C$8*(1+'Reverse DCF'!$C$19)^'Reverse DCF'!$C$15*(1+C$21)/($B23-C$21)/(1+$B23)^'Reverse DCF'!$C$15-'Reverse DCF'!$C$10)/'Reverse DCF'!$C$9,"N/A")</f>
        <v/>
      </c>
      <c r="D23" s="22">
        <f>IFERROR((SUMPRODUCT('Reverse DCF'!$C$8*(1+'Reverse DCF'!$C$19)^ROW(INDIRECT("1:"&amp;'Reverse DCF'!$C$15)),(1/(1+$B23))^ROW(INDIRECT("1:"&amp;'Reverse DCF'!$C$15)))+'Reverse DCF'!$C$8*(1+'Reverse DCF'!$C$19)^'Reverse DCF'!$C$15*(1+D$21)/($B23-D$21)/(1+$B23)^'Reverse DCF'!$C$15-'Reverse DCF'!$C$10)/'Reverse DCF'!$C$9,"N/A")</f>
        <v/>
      </c>
      <c r="E23" s="22">
        <f>IFERROR((SUMPRODUCT('Reverse DCF'!$C$8*(1+'Reverse DCF'!$C$19)^ROW(INDIRECT("1:"&amp;'Reverse DCF'!$C$15)),(1/(1+$B23))^ROW(INDIRECT("1:"&amp;'Reverse DCF'!$C$15)))+'Reverse DCF'!$C$8*(1+'Reverse DCF'!$C$19)^'Reverse DCF'!$C$15*(1+E$21)/($B23-E$21)/(1+$B23)^'Reverse DCF'!$C$15-'Reverse DCF'!$C$10)/'Reverse DCF'!$C$9,"N/A")</f>
        <v/>
      </c>
      <c r="F23" s="22">
        <f>IFERROR((SUMPRODUCT('Reverse DCF'!$C$8*(1+'Reverse DCF'!$C$19)^ROW(INDIRECT("1:"&amp;'Reverse DCF'!$C$15)),(1/(1+$B23))^ROW(INDIRECT("1:"&amp;'Reverse DCF'!$C$15)))+'Reverse DCF'!$C$8*(1+'Reverse DCF'!$C$19)^'Reverse DCF'!$C$15*(1+F$21)/($B23-F$21)/(1+$B23)^'Reverse DCF'!$C$15-'Reverse DCF'!$C$10)/'Reverse DCF'!$C$9,"N/A")</f>
        <v/>
      </c>
      <c r="G23" s="22">
        <f>IFERROR((SUMPRODUCT('Reverse DCF'!$C$8*(1+'Reverse DCF'!$C$19)^ROW(INDIRECT("1:"&amp;'Reverse DCF'!$C$15)),(1/(1+$B23))^ROW(INDIRECT("1:"&amp;'Reverse DCF'!$C$15)))+'Reverse DCF'!$C$8*(1+'Reverse DCF'!$C$19)^'Reverse DCF'!$C$15*(1+G$21)/($B23-G$21)/(1+$B23)^'Reverse DCF'!$C$15-'Reverse DCF'!$C$10)/'Reverse DCF'!$C$9,"N/A")</f>
        <v/>
      </c>
      <c r="H23" s="22">
        <f>IFERROR((SUMPRODUCT('Reverse DCF'!$C$8*(1+'Reverse DCF'!$C$19)^ROW(INDIRECT("1:"&amp;'Reverse DCF'!$C$15)),(1/(1+$B23))^ROW(INDIRECT("1:"&amp;'Reverse DCF'!$C$15)))+'Reverse DCF'!$C$8*(1+'Reverse DCF'!$C$19)^'Reverse DCF'!$C$15*(1+H$21)/($B23-H$21)/(1+$B23)^'Reverse DCF'!$C$15-'Reverse DCF'!$C$10)/'Reverse DCF'!$C$9,"N/A")</f>
        <v/>
      </c>
      <c r="I23" s="22">
        <f>IFERROR((SUMPRODUCT('Reverse DCF'!$C$8*(1+'Reverse DCF'!$C$19)^ROW(INDIRECT("1:"&amp;'Reverse DCF'!$C$15)),(1/(1+$B23))^ROW(INDIRECT("1:"&amp;'Reverse DCF'!$C$15)))+'Reverse DCF'!$C$8*(1+'Reverse DCF'!$C$19)^'Reverse DCF'!$C$15*(1+I$21)/($B23-I$21)/(1+$B23)^'Reverse DCF'!$C$15-'Reverse DCF'!$C$10)/'Reverse DCF'!$C$9,"N/A")</f>
        <v/>
      </c>
    </row>
    <row r="24" ht="18" customHeight="1">
      <c r="B24" s="18" t="inlineStr">
        <is>
          <t>10%</t>
        </is>
      </c>
      <c r="C24" s="20">
        <f>IFERROR((SUMPRODUCT('Reverse DCF'!$C$8*(1+'Reverse DCF'!$C$19)^ROW(INDIRECT("1:"&amp;'Reverse DCF'!$C$15)),(1/(1+$B24))^ROW(INDIRECT("1:"&amp;'Reverse DCF'!$C$15)))+'Reverse DCF'!$C$8*(1+'Reverse DCF'!$C$19)^'Reverse DCF'!$C$15*(1+C$21)/($B24-C$21)/(1+$B24)^'Reverse DCF'!$C$15-'Reverse DCF'!$C$10)/'Reverse DCF'!$C$9,"N/A")</f>
        <v/>
      </c>
      <c r="D24" s="20">
        <f>IFERROR((SUMPRODUCT('Reverse DCF'!$C$8*(1+'Reverse DCF'!$C$19)^ROW(INDIRECT("1:"&amp;'Reverse DCF'!$C$15)),(1/(1+$B24))^ROW(INDIRECT("1:"&amp;'Reverse DCF'!$C$15)))+'Reverse DCF'!$C$8*(1+'Reverse DCF'!$C$19)^'Reverse DCF'!$C$15*(1+D$21)/($B24-D$21)/(1+$B24)^'Reverse DCF'!$C$15-'Reverse DCF'!$C$10)/'Reverse DCF'!$C$9,"N/A")</f>
        <v/>
      </c>
      <c r="E24" s="20">
        <f>IFERROR((SUMPRODUCT('Reverse DCF'!$C$8*(1+'Reverse DCF'!$C$19)^ROW(INDIRECT("1:"&amp;'Reverse DCF'!$C$15)),(1/(1+$B24))^ROW(INDIRECT("1:"&amp;'Reverse DCF'!$C$15)))+'Reverse DCF'!$C$8*(1+'Reverse DCF'!$C$19)^'Reverse DCF'!$C$15*(1+E$21)/($B24-E$21)/(1+$B24)^'Reverse DCF'!$C$15-'Reverse DCF'!$C$10)/'Reverse DCF'!$C$9,"N/A")</f>
        <v/>
      </c>
      <c r="F24" s="20">
        <f>IFERROR((SUMPRODUCT('Reverse DCF'!$C$8*(1+'Reverse DCF'!$C$19)^ROW(INDIRECT("1:"&amp;'Reverse DCF'!$C$15)),(1/(1+$B24))^ROW(INDIRECT("1:"&amp;'Reverse DCF'!$C$15)))+'Reverse DCF'!$C$8*(1+'Reverse DCF'!$C$19)^'Reverse DCF'!$C$15*(1+F$21)/($B24-F$21)/(1+$B24)^'Reverse DCF'!$C$15-'Reverse DCF'!$C$10)/'Reverse DCF'!$C$9,"N/A")</f>
        <v/>
      </c>
      <c r="G24" s="20">
        <f>IFERROR((SUMPRODUCT('Reverse DCF'!$C$8*(1+'Reverse DCF'!$C$19)^ROW(INDIRECT("1:"&amp;'Reverse DCF'!$C$15)),(1/(1+$B24))^ROW(INDIRECT("1:"&amp;'Reverse DCF'!$C$15)))+'Reverse DCF'!$C$8*(1+'Reverse DCF'!$C$19)^'Reverse DCF'!$C$15*(1+G$21)/($B24-G$21)/(1+$B24)^'Reverse DCF'!$C$15-'Reverse DCF'!$C$10)/'Reverse DCF'!$C$9,"N/A")</f>
        <v/>
      </c>
      <c r="H24" s="20">
        <f>IFERROR((SUMPRODUCT('Reverse DCF'!$C$8*(1+'Reverse DCF'!$C$19)^ROW(INDIRECT("1:"&amp;'Reverse DCF'!$C$15)),(1/(1+$B24))^ROW(INDIRECT("1:"&amp;'Reverse DCF'!$C$15)))+'Reverse DCF'!$C$8*(1+'Reverse DCF'!$C$19)^'Reverse DCF'!$C$15*(1+H$21)/($B24-H$21)/(1+$B24)^'Reverse DCF'!$C$15-'Reverse DCF'!$C$10)/'Reverse DCF'!$C$9,"N/A")</f>
        <v/>
      </c>
      <c r="I24" s="20">
        <f>IFERROR((SUMPRODUCT('Reverse DCF'!$C$8*(1+'Reverse DCF'!$C$19)^ROW(INDIRECT("1:"&amp;'Reverse DCF'!$C$15)),(1/(1+$B24))^ROW(INDIRECT("1:"&amp;'Reverse DCF'!$C$15)))+'Reverse DCF'!$C$8*(1+'Reverse DCF'!$C$19)^'Reverse DCF'!$C$15*(1+I$21)/($B24-I$21)/(1+$B24)^'Reverse DCF'!$C$15-'Reverse DCF'!$C$10)/'Reverse DCF'!$C$9,"N/A")</f>
        <v/>
      </c>
    </row>
    <row r="25" ht="18" customHeight="1">
      <c r="B25" s="18" t="inlineStr">
        <is>
          <t>11%</t>
        </is>
      </c>
      <c r="C25" s="22">
        <f>IFERROR((SUMPRODUCT('Reverse DCF'!$C$8*(1+'Reverse DCF'!$C$19)^ROW(INDIRECT("1:"&amp;'Reverse DCF'!$C$15)),(1/(1+$B25))^ROW(INDIRECT("1:"&amp;'Reverse DCF'!$C$15)))+'Reverse DCF'!$C$8*(1+'Reverse DCF'!$C$19)^'Reverse DCF'!$C$15*(1+C$21)/($B25-C$21)/(1+$B25)^'Reverse DCF'!$C$15-'Reverse DCF'!$C$10)/'Reverse DCF'!$C$9,"N/A")</f>
        <v/>
      </c>
      <c r="D25" s="22">
        <f>IFERROR((SUMPRODUCT('Reverse DCF'!$C$8*(1+'Reverse DCF'!$C$19)^ROW(INDIRECT("1:"&amp;'Reverse DCF'!$C$15)),(1/(1+$B25))^ROW(INDIRECT("1:"&amp;'Reverse DCF'!$C$15)))+'Reverse DCF'!$C$8*(1+'Reverse DCF'!$C$19)^'Reverse DCF'!$C$15*(1+D$21)/($B25-D$21)/(1+$B25)^'Reverse DCF'!$C$15-'Reverse DCF'!$C$10)/'Reverse DCF'!$C$9,"N/A")</f>
        <v/>
      </c>
      <c r="E25" s="22">
        <f>IFERROR((SUMPRODUCT('Reverse DCF'!$C$8*(1+'Reverse DCF'!$C$19)^ROW(INDIRECT("1:"&amp;'Reverse DCF'!$C$15)),(1/(1+$B25))^ROW(INDIRECT("1:"&amp;'Reverse DCF'!$C$15)))+'Reverse DCF'!$C$8*(1+'Reverse DCF'!$C$19)^'Reverse DCF'!$C$15*(1+E$21)/($B25-E$21)/(1+$B25)^'Reverse DCF'!$C$15-'Reverse DCF'!$C$10)/'Reverse DCF'!$C$9,"N/A")</f>
        <v/>
      </c>
      <c r="F25" s="22">
        <f>IFERROR((SUMPRODUCT('Reverse DCF'!$C$8*(1+'Reverse DCF'!$C$19)^ROW(INDIRECT("1:"&amp;'Reverse DCF'!$C$15)),(1/(1+$B25))^ROW(INDIRECT("1:"&amp;'Reverse DCF'!$C$15)))+'Reverse DCF'!$C$8*(1+'Reverse DCF'!$C$19)^'Reverse DCF'!$C$15*(1+F$21)/($B25-F$21)/(1+$B25)^'Reverse DCF'!$C$15-'Reverse DCF'!$C$10)/'Reverse DCF'!$C$9,"N/A")</f>
        <v/>
      </c>
      <c r="G25" s="22">
        <f>IFERROR((SUMPRODUCT('Reverse DCF'!$C$8*(1+'Reverse DCF'!$C$19)^ROW(INDIRECT("1:"&amp;'Reverse DCF'!$C$15)),(1/(1+$B25))^ROW(INDIRECT("1:"&amp;'Reverse DCF'!$C$15)))+'Reverse DCF'!$C$8*(1+'Reverse DCF'!$C$19)^'Reverse DCF'!$C$15*(1+G$21)/($B25-G$21)/(1+$B25)^'Reverse DCF'!$C$15-'Reverse DCF'!$C$10)/'Reverse DCF'!$C$9,"N/A")</f>
        <v/>
      </c>
      <c r="H25" s="22">
        <f>IFERROR((SUMPRODUCT('Reverse DCF'!$C$8*(1+'Reverse DCF'!$C$19)^ROW(INDIRECT("1:"&amp;'Reverse DCF'!$C$15)),(1/(1+$B25))^ROW(INDIRECT("1:"&amp;'Reverse DCF'!$C$15)))+'Reverse DCF'!$C$8*(1+'Reverse DCF'!$C$19)^'Reverse DCF'!$C$15*(1+H$21)/($B25-H$21)/(1+$B25)^'Reverse DCF'!$C$15-'Reverse DCF'!$C$10)/'Reverse DCF'!$C$9,"N/A")</f>
        <v/>
      </c>
      <c r="I25" s="22">
        <f>IFERROR((SUMPRODUCT('Reverse DCF'!$C$8*(1+'Reverse DCF'!$C$19)^ROW(INDIRECT("1:"&amp;'Reverse DCF'!$C$15)),(1/(1+$B25))^ROW(INDIRECT("1:"&amp;'Reverse DCF'!$C$15)))+'Reverse DCF'!$C$8*(1+'Reverse DCF'!$C$19)^'Reverse DCF'!$C$15*(1+I$21)/($B25-I$21)/(1+$B25)^'Reverse DCF'!$C$15-'Reverse DCF'!$C$10)/'Reverse DCF'!$C$9,"N/A")</f>
        <v/>
      </c>
    </row>
    <row r="26" ht="18" customHeight="1">
      <c r="B26" s="18" t="inlineStr">
        <is>
          <t>12%</t>
        </is>
      </c>
      <c r="C26" s="20">
        <f>IFERROR((SUMPRODUCT('Reverse DCF'!$C$8*(1+'Reverse DCF'!$C$19)^ROW(INDIRECT("1:"&amp;'Reverse DCF'!$C$15)),(1/(1+$B26))^ROW(INDIRECT("1:"&amp;'Reverse DCF'!$C$15)))+'Reverse DCF'!$C$8*(1+'Reverse DCF'!$C$19)^'Reverse DCF'!$C$15*(1+C$21)/($B26-C$21)/(1+$B26)^'Reverse DCF'!$C$15-'Reverse DCF'!$C$10)/'Reverse DCF'!$C$9,"N/A")</f>
        <v/>
      </c>
      <c r="D26" s="20">
        <f>IFERROR((SUMPRODUCT('Reverse DCF'!$C$8*(1+'Reverse DCF'!$C$19)^ROW(INDIRECT("1:"&amp;'Reverse DCF'!$C$15)),(1/(1+$B26))^ROW(INDIRECT("1:"&amp;'Reverse DCF'!$C$15)))+'Reverse DCF'!$C$8*(1+'Reverse DCF'!$C$19)^'Reverse DCF'!$C$15*(1+D$21)/($B26-D$21)/(1+$B26)^'Reverse DCF'!$C$15-'Reverse DCF'!$C$10)/'Reverse DCF'!$C$9,"N/A")</f>
        <v/>
      </c>
      <c r="E26" s="20">
        <f>IFERROR((SUMPRODUCT('Reverse DCF'!$C$8*(1+'Reverse DCF'!$C$19)^ROW(INDIRECT("1:"&amp;'Reverse DCF'!$C$15)),(1/(1+$B26))^ROW(INDIRECT("1:"&amp;'Reverse DCF'!$C$15)))+'Reverse DCF'!$C$8*(1+'Reverse DCF'!$C$19)^'Reverse DCF'!$C$15*(1+E$21)/($B26-E$21)/(1+$B26)^'Reverse DCF'!$C$15-'Reverse DCF'!$C$10)/'Reverse DCF'!$C$9,"N/A")</f>
        <v/>
      </c>
      <c r="F26" s="20">
        <f>IFERROR((SUMPRODUCT('Reverse DCF'!$C$8*(1+'Reverse DCF'!$C$19)^ROW(INDIRECT("1:"&amp;'Reverse DCF'!$C$15)),(1/(1+$B26))^ROW(INDIRECT("1:"&amp;'Reverse DCF'!$C$15)))+'Reverse DCF'!$C$8*(1+'Reverse DCF'!$C$19)^'Reverse DCF'!$C$15*(1+F$21)/($B26-F$21)/(1+$B26)^'Reverse DCF'!$C$15-'Reverse DCF'!$C$10)/'Reverse DCF'!$C$9,"N/A")</f>
        <v/>
      </c>
      <c r="G26" s="20">
        <f>IFERROR((SUMPRODUCT('Reverse DCF'!$C$8*(1+'Reverse DCF'!$C$19)^ROW(INDIRECT("1:"&amp;'Reverse DCF'!$C$15)),(1/(1+$B26))^ROW(INDIRECT("1:"&amp;'Reverse DCF'!$C$15)))+'Reverse DCF'!$C$8*(1+'Reverse DCF'!$C$19)^'Reverse DCF'!$C$15*(1+G$21)/($B26-G$21)/(1+$B26)^'Reverse DCF'!$C$15-'Reverse DCF'!$C$10)/'Reverse DCF'!$C$9,"N/A")</f>
        <v/>
      </c>
      <c r="H26" s="20">
        <f>IFERROR((SUMPRODUCT('Reverse DCF'!$C$8*(1+'Reverse DCF'!$C$19)^ROW(INDIRECT("1:"&amp;'Reverse DCF'!$C$15)),(1/(1+$B26))^ROW(INDIRECT("1:"&amp;'Reverse DCF'!$C$15)))+'Reverse DCF'!$C$8*(1+'Reverse DCF'!$C$19)^'Reverse DCF'!$C$15*(1+H$21)/($B26-H$21)/(1+$B26)^'Reverse DCF'!$C$15-'Reverse DCF'!$C$10)/'Reverse DCF'!$C$9,"N/A")</f>
        <v/>
      </c>
      <c r="I26" s="20">
        <f>IFERROR((SUMPRODUCT('Reverse DCF'!$C$8*(1+'Reverse DCF'!$C$19)^ROW(INDIRECT("1:"&amp;'Reverse DCF'!$C$15)),(1/(1+$B26))^ROW(INDIRECT("1:"&amp;'Reverse DCF'!$C$15)))+'Reverse DCF'!$C$8*(1+'Reverse DCF'!$C$19)^'Reverse DCF'!$C$15*(1+I$21)/($B26-I$21)/(1+$B26)^'Reverse DCF'!$C$15-'Reverse DCF'!$C$10)/'Reverse DCF'!$C$9,"N/A")</f>
        <v/>
      </c>
    </row>
    <row r="27" ht="18" customHeight="1">
      <c r="B27" s="18" t="inlineStr">
        <is>
          <t>13%</t>
        </is>
      </c>
      <c r="C27" s="22">
        <f>IFERROR((SUMPRODUCT('Reverse DCF'!$C$8*(1+'Reverse DCF'!$C$19)^ROW(INDIRECT("1:"&amp;'Reverse DCF'!$C$15)),(1/(1+$B27))^ROW(INDIRECT("1:"&amp;'Reverse DCF'!$C$15)))+'Reverse DCF'!$C$8*(1+'Reverse DCF'!$C$19)^'Reverse DCF'!$C$15*(1+C$21)/($B27-C$21)/(1+$B27)^'Reverse DCF'!$C$15-'Reverse DCF'!$C$10)/'Reverse DCF'!$C$9,"N/A")</f>
        <v/>
      </c>
      <c r="D27" s="22">
        <f>IFERROR((SUMPRODUCT('Reverse DCF'!$C$8*(1+'Reverse DCF'!$C$19)^ROW(INDIRECT("1:"&amp;'Reverse DCF'!$C$15)),(1/(1+$B27))^ROW(INDIRECT("1:"&amp;'Reverse DCF'!$C$15)))+'Reverse DCF'!$C$8*(1+'Reverse DCF'!$C$19)^'Reverse DCF'!$C$15*(1+D$21)/($B27-D$21)/(1+$B27)^'Reverse DCF'!$C$15-'Reverse DCF'!$C$10)/'Reverse DCF'!$C$9,"N/A")</f>
        <v/>
      </c>
      <c r="E27" s="22">
        <f>IFERROR((SUMPRODUCT('Reverse DCF'!$C$8*(1+'Reverse DCF'!$C$19)^ROW(INDIRECT("1:"&amp;'Reverse DCF'!$C$15)),(1/(1+$B27))^ROW(INDIRECT("1:"&amp;'Reverse DCF'!$C$15)))+'Reverse DCF'!$C$8*(1+'Reverse DCF'!$C$19)^'Reverse DCF'!$C$15*(1+E$21)/($B27-E$21)/(1+$B27)^'Reverse DCF'!$C$15-'Reverse DCF'!$C$10)/'Reverse DCF'!$C$9,"N/A")</f>
        <v/>
      </c>
      <c r="F27" s="22">
        <f>IFERROR((SUMPRODUCT('Reverse DCF'!$C$8*(1+'Reverse DCF'!$C$19)^ROW(INDIRECT("1:"&amp;'Reverse DCF'!$C$15)),(1/(1+$B27))^ROW(INDIRECT("1:"&amp;'Reverse DCF'!$C$15)))+'Reverse DCF'!$C$8*(1+'Reverse DCF'!$C$19)^'Reverse DCF'!$C$15*(1+F$21)/($B27-F$21)/(1+$B27)^'Reverse DCF'!$C$15-'Reverse DCF'!$C$10)/'Reverse DCF'!$C$9,"N/A")</f>
        <v/>
      </c>
      <c r="G27" s="22">
        <f>IFERROR((SUMPRODUCT('Reverse DCF'!$C$8*(1+'Reverse DCF'!$C$19)^ROW(INDIRECT("1:"&amp;'Reverse DCF'!$C$15)),(1/(1+$B27))^ROW(INDIRECT("1:"&amp;'Reverse DCF'!$C$15)))+'Reverse DCF'!$C$8*(1+'Reverse DCF'!$C$19)^'Reverse DCF'!$C$15*(1+G$21)/($B27-G$21)/(1+$B27)^'Reverse DCF'!$C$15-'Reverse DCF'!$C$10)/'Reverse DCF'!$C$9,"N/A")</f>
        <v/>
      </c>
      <c r="H27" s="22">
        <f>IFERROR((SUMPRODUCT('Reverse DCF'!$C$8*(1+'Reverse DCF'!$C$19)^ROW(INDIRECT("1:"&amp;'Reverse DCF'!$C$15)),(1/(1+$B27))^ROW(INDIRECT("1:"&amp;'Reverse DCF'!$C$15)))+'Reverse DCF'!$C$8*(1+'Reverse DCF'!$C$19)^'Reverse DCF'!$C$15*(1+H$21)/($B27-H$21)/(1+$B27)^'Reverse DCF'!$C$15-'Reverse DCF'!$C$10)/'Reverse DCF'!$C$9,"N/A")</f>
        <v/>
      </c>
      <c r="I27" s="22">
        <f>IFERROR((SUMPRODUCT('Reverse DCF'!$C$8*(1+'Reverse DCF'!$C$19)^ROW(INDIRECT("1:"&amp;'Reverse DCF'!$C$15)),(1/(1+$B27))^ROW(INDIRECT("1:"&amp;'Reverse DCF'!$C$15)))+'Reverse DCF'!$C$8*(1+'Reverse DCF'!$C$19)^'Reverse DCF'!$C$15*(1+I$21)/($B27-I$21)/(1+$B27)^'Reverse DCF'!$C$15-'Reverse DCF'!$C$10)/'Reverse DCF'!$C$9,"N/A")</f>
        <v/>
      </c>
    </row>
    <row r="28" ht="18" customHeight="1">
      <c r="B28" s="18" t="inlineStr">
        <is>
          <t>14%</t>
        </is>
      </c>
      <c r="C28" s="20">
        <f>IFERROR((SUMPRODUCT('Reverse DCF'!$C$8*(1+'Reverse DCF'!$C$19)^ROW(INDIRECT("1:"&amp;'Reverse DCF'!$C$15)),(1/(1+$B28))^ROW(INDIRECT("1:"&amp;'Reverse DCF'!$C$15)))+'Reverse DCF'!$C$8*(1+'Reverse DCF'!$C$19)^'Reverse DCF'!$C$15*(1+C$21)/($B28-C$21)/(1+$B28)^'Reverse DCF'!$C$15-'Reverse DCF'!$C$10)/'Reverse DCF'!$C$9,"N/A")</f>
        <v/>
      </c>
      <c r="D28" s="20">
        <f>IFERROR((SUMPRODUCT('Reverse DCF'!$C$8*(1+'Reverse DCF'!$C$19)^ROW(INDIRECT("1:"&amp;'Reverse DCF'!$C$15)),(1/(1+$B28))^ROW(INDIRECT("1:"&amp;'Reverse DCF'!$C$15)))+'Reverse DCF'!$C$8*(1+'Reverse DCF'!$C$19)^'Reverse DCF'!$C$15*(1+D$21)/($B28-D$21)/(1+$B28)^'Reverse DCF'!$C$15-'Reverse DCF'!$C$10)/'Reverse DCF'!$C$9,"N/A")</f>
        <v/>
      </c>
      <c r="E28" s="20">
        <f>IFERROR((SUMPRODUCT('Reverse DCF'!$C$8*(1+'Reverse DCF'!$C$19)^ROW(INDIRECT("1:"&amp;'Reverse DCF'!$C$15)),(1/(1+$B28))^ROW(INDIRECT("1:"&amp;'Reverse DCF'!$C$15)))+'Reverse DCF'!$C$8*(1+'Reverse DCF'!$C$19)^'Reverse DCF'!$C$15*(1+E$21)/($B28-E$21)/(1+$B28)^'Reverse DCF'!$C$15-'Reverse DCF'!$C$10)/'Reverse DCF'!$C$9,"N/A")</f>
        <v/>
      </c>
      <c r="F28" s="20">
        <f>IFERROR((SUMPRODUCT('Reverse DCF'!$C$8*(1+'Reverse DCF'!$C$19)^ROW(INDIRECT("1:"&amp;'Reverse DCF'!$C$15)),(1/(1+$B28))^ROW(INDIRECT("1:"&amp;'Reverse DCF'!$C$15)))+'Reverse DCF'!$C$8*(1+'Reverse DCF'!$C$19)^'Reverse DCF'!$C$15*(1+F$21)/($B28-F$21)/(1+$B28)^'Reverse DCF'!$C$15-'Reverse DCF'!$C$10)/'Reverse DCF'!$C$9,"N/A")</f>
        <v/>
      </c>
      <c r="G28" s="20">
        <f>IFERROR((SUMPRODUCT('Reverse DCF'!$C$8*(1+'Reverse DCF'!$C$19)^ROW(INDIRECT("1:"&amp;'Reverse DCF'!$C$15)),(1/(1+$B28))^ROW(INDIRECT("1:"&amp;'Reverse DCF'!$C$15)))+'Reverse DCF'!$C$8*(1+'Reverse DCF'!$C$19)^'Reverse DCF'!$C$15*(1+G$21)/($B28-G$21)/(1+$B28)^'Reverse DCF'!$C$15-'Reverse DCF'!$C$10)/'Reverse DCF'!$C$9,"N/A")</f>
        <v/>
      </c>
      <c r="H28" s="20">
        <f>IFERROR((SUMPRODUCT('Reverse DCF'!$C$8*(1+'Reverse DCF'!$C$19)^ROW(INDIRECT("1:"&amp;'Reverse DCF'!$C$15)),(1/(1+$B28))^ROW(INDIRECT("1:"&amp;'Reverse DCF'!$C$15)))+'Reverse DCF'!$C$8*(1+'Reverse DCF'!$C$19)^'Reverse DCF'!$C$15*(1+H$21)/($B28-H$21)/(1+$B28)^'Reverse DCF'!$C$15-'Reverse DCF'!$C$10)/'Reverse DCF'!$C$9,"N/A")</f>
        <v/>
      </c>
      <c r="I28" s="20">
        <f>IFERROR((SUMPRODUCT('Reverse DCF'!$C$8*(1+'Reverse DCF'!$C$19)^ROW(INDIRECT("1:"&amp;'Reverse DCF'!$C$15)),(1/(1+$B28))^ROW(INDIRECT("1:"&amp;'Reverse DCF'!$C$15)))+'Reverse DCF'!$C$8*(1+'Reverse DCF'!$C$19)^'Reverse DCF'!$C$15*(1+I$21)/($B28-I$21)/(1+$B28)^'Reverse DCF'!$C$15-'Reverse DCF'!$C$10)/'Reverse DCF'!$C$9,"N/A")</f>
        <v/>
      </c>
    </row>
    <row r="29" ht="18" customHeight="1">
      <c r="B29" s="18" t="inlineStr">
        <is>
          <t>15%</t>
        </is>
      </c>
      <c r="C29" s="22">
        <f>IFERROR((SUMPRODUCT('Reverse DCF'!$C$8*(1+'Reverse DCF'!$C$19)^ROW(INDIRECT("1:"&amp;'Reverse DCF'!$C$15)),(1/(1+$B29))^ROW(INDIRECT("1:"&amp;'Reverse DCF'!$C$15)))+'Reverse DCF'!$C$8*(1+'Reverse DCF'!$C$19)^'Reverse DCF'!$C$15*(1+C$21)/($B29-C$21)/(1+$B29)^'Reverse DCF'!$C$15-'Reverse DCF'!$C$10)/'Reverse DCF'!$C$9,"N/A")</f>
        <v/>
      </c>
      <c r="D29" s="22">
        <f>IFERROR((SUMPRODUCT('Reverse DCF'!$C$8*(1+'Reverse DCF'!$C$19)^ROW(INDIRECT("1:"&amp;'Reverse DCF'!$C$15)),(1/(1+$B29))^ROW(INDIRECT("1:"&amp;'Reverse DCF'!$C$15)))+'Reverse DCF'!$C$8*(1+'Reverse DCF'!$C$19)^'Reverse DCF'!$C$15*(1+D$21)/($B29-D$21)/(1+$B29)^'Reverse DCF'!$C$15-'Reverse DCF'!$C$10)/'Reverse DCF'!$C$9,"N/A")</f>
        <v/>
      </c>
      <c r="E29" s="22">
        <f>IFERROR((SUMPRODUCT('Reverse DCF'!$C$8*(1+'Reverse DCF'!$C$19)^ROW(INDIRECT("1:"&amp;'Reverse DCF'!$C$15)),(1/(1+$B29))^ROW(INDIRECT("1:"&amp;'Reverse DCF'!$C$15)))+'Reverse DCF'!$C$8*(1+'Reverse DCF'!$C$19)^'Reverse DCF'!$C$15*(1+E$21)/($B29-E$21)/(1+$B29)^'Reverse DCF'!$C$15-'Reverse DCF'!$C$10)/'Reverse DCF'!$C$9,"N/A")</f>
        <v/>
      </c>
      <c r="F29" s="22">
        <f>IFERROR((SUMPRODUCT('Reverse DCF'!$C$8*(1+'Reverse DCF'!$C$19)^ROW(INDIRECT("1:"&amp;'Reverse DCF'!$C$15)),(1/(1+$B29))^ROW(INDIRECT("1:"&amp;'Reverse DCF'!$C$15)))+'Reverse DCF'!$C$8*(1+'Reverse DCF'!$C$19)^'Reverse DCF'!$C$15*(1+F$21)/($B29-F$21)/(1+$B29)^'Reverse DCF'!$C$15-'Reverse DCF'!$C$10)/'Reverse DCF'!$C$9,"N/A")</f>
        <v/>
      </c>
      <c r="G29" s="22">
        <f>IFERROR((SUMPRODUCT('Reverse DCF'!$C$8*(1+'Reverse DCF'!$C$19)^ROW(INDIRECT("1:"&amp;'Reverse DCF'!$C$15)),(1/(1+$B29))^ROW(INDIRECT("1:"&amp;'Reverse DCF'!$C$15)))+'Reverse DCF'!$C$8*(1+'Reverse DCF'!$C$19)^'Reverse DCF'!$C$15*(1+G$21)/($B29-G$21)/(1+$B29)^'Reverse DCF'!$C$15-'Reverse DCF'!$C$10)/'Reverse DCF'!$C$9,"N/A")</f>
        <v/>
      </c>
      <c r="H29" s="22">
        <f>IFERROR((SUMPRODUCT('Reverse DCF'!$C$8*(1+'Reverse DCF'!$C$19)^ROW(INDIRECT("1:"&amp;'Reverse DCF'!$C$15)),(1/(1+$B29))^ROW(INDIRECT("1:"&amp;'Reverse DCF'!$C$15)))+'Reverse DCF'!$C$8*(1+'Reverse DCF'!$C$19)^'Reverse DCF'!$C$15*(1+H$21)/($B29-H$21)/(1+$B29)^'Reverse DCF'!$C$15-'Reverse DCF'!$C$10)/'Reverse DCF'!$C$9,"N/A")</f>
        <v/>
      </c>
      <c r="I29" s="22">
        <f>IFERROR((SUMPRODUCT('Reverse DCF'!$C$8*(1+'Reverse DCF'!$C$19)^ROW(INDIRECT("1:"&amp;'Reverse DCF'!$C$15)),(1/(1+$B29))^ROW(INDIRECT("1:"&amp;'Reverse DCF'!$C$15)))+'Reverse DCF'!$C$8*(1+'Reverse DCF'!$C$19)^'Reverse DCF'!$C$15*(1+I$21)/($B29-I$21)/(1+$B29)^'Reverse DCF'!$C$15-'Reverse DCF'!$C$10)/'Reverse DCF'!$C$9,"N/A")</f>
        <v/>
      </c>
    </row>
    <row r="30" ht="18" customHeight="1">
      <c r="B30" s="18" t="inlineStr">
        <is>
          <t>16%</t>
        </is>
      </c>
      <c r="C30" s="20">
        <f>IFERROR((SUMPRODUCT('Reverse DCF'!$C$8*(1+'Reverse DCF'!$C$19)^ROW(INDIRECT("1:"&amp;'Reverse DCF'!$C$15)),(1/(1+$B30))^ROW(INDIRECT("1:"&amp;'Reverse DCF'!$C$15)))+'Reverse DCF'!$C$8*(1+'Reverse DCF'!$C$19)^'Reverse DCF'!$C$15*(1+C$21)/($B30-C$21)/(1+$B30)^'Reverse DCF'!$C$15-'Reverse DCF'!$C$10)/'Reverse DCF'!$C$9,"N/A")</f>
        <v/>
      </c>
      <c r="D30" s="20">
        <f>IFERROR((SUMPRODUCT('Reverse DCF'!$C$8*(1+'Reverse DCF'!$C$19)^ROW(INDIRECT("1:"&amp;'Reverse DCF'!$C$15)),(1/(1+$B30))^ROW(INDIRECT("1:"&amp;'Reverse DCF'!$C$15)))+'Reverse DCF'!$C$8*(1+'Reverse DCF'!$C$19)^'Reverse DCF'!$C$15*(1+D$21)/($B30-D$21)/(1+$B30)^'Reverse DCF'!$C$15-'Reverse DCF'!$C$10)/'Reverse DCF'!$C$9,"N/A")</f>
        <v/>
      </c>
      <c r="E30" s="20">
        <f>IFERROR((SUMPRODUCT('Reverse DCF'!$C$8*(1+'Reverse DCF'!$C$19)^ROW(INDIRECT("1:"&amp;'Reverse DCF'!$C$15)),(1/(1+$B30))^ROW(INDIRECT("1:"&amp;'Reverse DCF'!$C$15)))+'Reverse DCF'!$C$8*(1+'Reverse DCF'!$C$19)^'Reverse DCF'!$C$15*(1+E$21)/($B30-E$21)/(1+$B30)^'Reverse DCF'!$C$15-'Reverse DCF'!$C$10)/'Reverse DCF'!$C$9,"N/A")</f>
        <v/>
      </c>
      <c r="F30" s="20">
        <f>IFERROR((SUMPRODUCT('Reverse DCF'!$C$8*(1+'Reverse DCF'!$C$19)^ROW(INDIRECT("1:"&amp;'Reverse DCF'!$C$15)),(1/(1+$B30))^ROW(INDIRECT("1:"&amp;'Reverse DCF'!$C$15)))+'Reverse DCF'!$C$8*(1+'Reverse DCF'!$C$19)^'Reverse DCF'!$C$15*(1+F$21)/($B30-F$21)/(1+$B30)^'Reverse DCF'!$C$15-'Reverse DCF'!$C$10)/'Reverse DCF'!$C$9,"N/A")</f>
        <v/>
      </c>
      <c r="G30" s="20">
        <f>IFERROR((SUMPRODUCT('Reverse DCF'!$C$8*(1+'Reverse DCF'!$C$19)^ROW(INDIRECT("1:"&amp;'Reverse DCF'!$C$15)),(1/(1+$B30))^ROW(INDIRECT("1:"&amp;'Reverse DCF'!$C$15)))+'Reverse DCF'!$C$8*(1+'Reverse DCF'!$C$19)^'Reverse DCF'!$C$15*(1+G$21)/($B30-G$21)/(1+$B30)^'Reverse DCF'!$C$15-'Reverse DCF'!$C$10)/'Reverse DCF'!$C$9,"N/A")</f>
        <v/>
      </c>
      <c r="H30" s="20">
        <f>IFERROR((SUMPRODUCT('Reverse DCF'!$C$8*(1+'Reverse DCF'!$C$19)^ROW(INDIRECT("1:"&amp;'Reverse DCF'!$C$15)),(1/(1+$B30))^ROW(INDIRECT("1:"&amp;'Reverse DCF'!$C$15)))+'Reverse DCF'!$C$8*(1+'Reverse DCF'!$C$19)^'Reverse DCF'!$C$15*(1+H$21)/($B30-H$21)/(1+$B30)^'Reverse DCF'!$C$15-'Reverse DCF'!$C$10)/'Reverse DCF'!$C$9,"N/A")</f>
        <v/>
      </c>
      <c r="I30" s="20">
        <f>IFERROR((SUMPRODUCT('Reverse DCF'!$C$8*(1+'Reverse DCF'!$C$19)^ROW(INDIRECT("1:"&amp;'Reverse DCF'!$C$15)),(1/(1+$B30))^ROW(INDIRECT("1:"&amp;'Reverse DCF'!$C$15)))+'Reverse DCF'!$C$8*(1+'Reverse DCF'!$C$19)^'Reverse DCF'!$C$15*(1+I$21)/($B30-I$21)/(1+$B30)^'Reverse DCF'!$C$15-'Reverse DCF'!$C$10)/'Reverse DCF'!$C$9,"N/A")</f>
        <v/>
      </c>
    </row>
  </sheetData>
  <mergeCells count="6">
    <mergeCell ref="B6:L6"/>
    <mergeCell ref="B20:I20"/>
    <mergeCell ref="B3:L3"/>
    <mergeCell ref="B2:L2"/>
    <mergeCell ref="J20:L20"/>
    <mergeCell ref="D4:H4"/>
  </mergeCells>
  <conditionalFormatting sqref="C8:L16">
    <cfRule type="colorScale" priority="1">
      <colorScale>
        <cfvo type="min"/>
        <cfvo type="num" val="0"/>
        <cfvo type="max"/>
        <color rgb="00F44336"/>
        <color rgb="00FFFFFF"/>
        <color rgb="002D6A4F"/>
      </colorScale>
    </cfRule>
  </conditionalFormatting>
  <conditionalFormatting sqref="C22:I30">
    <cfRule type="colorScale" priority="2">
      <colorScale>
        <cfvo type="min"/>
        <cfvo type="percentile" val="50"/>
        <cfvo type="max"/>
        <color rgb="00F44336"/>
        <color rgb="00FFEB3B"/>
        <color rgb="002D6A4F"/>
      </colorScale>
    </cfRule>
  </conditionalFormatting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tabColor rgb="0095D5B2"/>
    <outlinePr summaryBelow="1" summaryRight="1"/>
    <pageSetUpPr/>
  </sheetPr>
  <dimension ref="B2:B6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45" customHeight="1">
      <c r="B2" s="25" t="inlineStr">
        <is>
          <t>HOW TO USE THIS MODEL  —  INSTRUCTIONS &amp; DOCUMENTATION</t>
        </is>
      </c>
    </row>
    <row r="4" ht="18" customHeight="1">
      <c r="B4" s="91" t="inlineStr">
        <is>
          <t>═══════════════════════════════════════════════════════</t>
        </is>
      </c>
    </row>
    <row r="5" ht="22" customHeight="1">
      <c r="B5" s="92" t="inlineStr">
        <is>
          <t>1.  LIVE PRICE AUTO-UPDATE</t>
        </is>
      </c>
    </row>
    <row r="6" ht="18" customHeight="1">
      <c r="B6" s="91" t="inlineStr">
        <is>
          <t>═══════════════════════════════════════════════════════</t>
        </is>
      </c>
    </row>
    <row r="7" ht="18" customHeight="1">
      <c r="B7" s="93" t="inlineStr">
        <is>
          <t>The cell 'Reverse DCF'!C7 contains a STOCKHISTORY() formula which fetches the most recent MELI closing price in Excel 365 (Microsoft 365 subscription).</t>
        </is>
      </c>
    </row>
    <row r="8" ht="18" customHeight="1">
      <c r="B8" s="94" t="inlineStr">
        <is>
          <t>Formula used:  =IFERROR(INDEX(STOCKHISTORY("MELI",TODAY()-7,TODAY(),0,0),COUNTA(STOCKHISTORY("MELI",TODAY()-7,TODAY(),0,0)),1), 1950)</t>
        </is>
      </c>
    </row>
    <row r="9" ht="18" customHeight="1">
      <c r="B9" s="95" t="inlineStr">
        <is>
          <t>If STOCKHISTORY is not available (Excel 2019 or earlier), manually enter the current stock price directly into cell 'Reverse DCF'!C7.</t>
        </is>
      </c>
    </row>
    <row r="10" ht="18" customHeight="1">
      <c r="B10" s="93" t="inlineStr">
        <is>
          <t>To refresh: Press Ctrl+Alt+F9 (force full recalculation) or go to Data &gt; Refresh All.</t>
        </is>
      </c>
    </row>
    <row r="12" ht="18" customHeight="1">
      <c r="B12" s="91" t="inlineStr">
        <is>
          <t>═══════════════════════════════════════════════════════</t>
        </is>
      </c>
    </row>
    <row r="13" ht="22" customHeight="1">
      <c r="B13" s="92" t="inlineStr">
        <is>
          <t>2.  VBA MACRO — AUTO-REFRESH ON OPEN</t>
        </is>
      </c>
    </row>
    <row r="14" ht="18" customHeight="1">
      <c r="B14" s="91" t="inlineStr">
        <is>
          <t>═══════════════════════════════════════════════════════</t>
        </is>
      </c>
    </row>
    <row r="15" ht="18" customHeight="1">
      <c r="B15" s="93" t="inlineStr">
        <is>
          <t>To make the model auto-refresh the stock price every time the file is opened save as .xlsm and add this VBA code to ThisWorkbook:</t>
        </is>
      </c>
    </row>
    <row r="16" ht="18" customHeight="1">
      <c r="B16" s="96" t="inlineStr">
        <is>
          <t xml:space="preserve">  Private Sub Workbook_Open()</t>
        </is>
      </c>
    </row>
    <row r="17" ht="18" customHeight="1">
      <c r="B17" s="96" t="inlineStr">
        <is>
          <t xml:space="preserve">      Application.CalculateFull       ' force refresh of all formulas</t>
        </is>
      </c>
    </row>
    <row r="18" ht="18" customHeight="1">
      <c r="B18" s="96" t="inlineStr">
        <is>
          <t xml:space="preserve">      ThisWorkbook.RefreshAll          ' refresh Power Query / data connections</t>
        </is>
      </c>
    </row>
    <row r="19" ht="18" customHeight="1">
      <c r="B19" s="96" t="inlineStr">
        <is>
          <t xml:space="preserve">      MsgBox "MELI model refreshed. Current price: " &amp; _</t>
        </is>
      </c>
    </row>
    <row r="20" ht="18" customHeight="1">
      <c r="B20" s="96" t="inlineStr">
        <is>
          <t xml:space="preserve">            Format(Sheets("Reverse DCF").Range("C7").Value, "$#,##0.00")</t>
        </is>
      </c>
    </row>
    <row r="21" ht="18" customHeight="1">
      <c r="B21" s="96" t="inlineStr">
        <is>
          <t xml:space="preserve">  End Sub</t>
        </is>
      </c>
    </row>
    <row r="23" ht="18" customHeight="1">
      <c r="B23" s="91" t="inlineStr">
        <is>
          <t>═══════════════════════════════════════════════════════</t>
        </is>
      </c>
    </row>
    <row r="24" ht="22" customHeight="1">
      <c r="B24" s="92" t="inlineStr">
        <is>
          <t>3.  UNDERSTANDING THE REVERSE DCF</t>
        </is>
      </c>
    </row>
    <row r="25" ht="18" customHeight="1">
      <c r="B25" s="91" t="inlineStr">
        <is>
          <t>═══════════════════════════════════════════════════════</t>
        </is>
      </c>
    </row>
    <row r="26" ht="18" customHeight="1">
      <c r="B26" s="93" t="inlineStr">
        <is>
          <t>A standard (forward) DCF asks: 'Given my growth assumptions, what is the stock worth?'</t>
        </is>
      </c>
    </row>
    <row r="27" ht="18" customHeight="1">
      <c r="B27" s="97" t="inlineStr">
        <is>
          <t>A REVERSE DCF asks: 'Given the current stock price, what growth rate must the market be assuming for the stock to be fairly valued?'</t>
        </is>
      </c>
    </row>
    <row r="28" ht="18" customHeight="1">
      <c r="B28" s="97" t="inlineStr">
        <is>
          <t>Steps the model takes:</t>
        </is>
      </c>
    </row>
    <row r="29" ht="18" customHeight="1">
      <c r="B29" s="98" t="inlineStr">
        <is>
          <t xml:space="preserve">  a)  Sweeps growth rates from 0% to 60% in 1% increments (Lookup Table on Reverse DCF sheet).</t>
        </is>
      </c>
    </row>
    <row r="30" ht="18" customHeight="1">
      <c r="B30" s="98" t="inlineStr">
        <is>
          <t xml:space="preserve">  b)  For each growth rate, calculates the implied stock price using DCF formula:</t>
        </is>
      </c>
    </row>
    <row r="31" ht="18" customHeight="1">
      <c r="B31" s="99" t="inlineStr">
        <is>
          <t xml:space="preserve">      Price = (Σ PV of FCFs + PV of Terminal Value − Net Debt) ÷ Shares Outstanding</t>
        </is>
      </c>
    </row>
    <row r="32" ht="18" customHeight="1">
      <c r="B32" s="98" t="inlineStr">
        <is>
          <t xml:space="preserve">  c)  Uses INDEX/MATCH to find the growth rate where the implied price ≈ current price.</t>
        </is>
      </c>
    </row>
    <row r="33" ht="18" customHeight="1">
      <c r="B33" s="98" t="inlineStr">
        <is>
          <t xml:space="preserve">  d)  This 'implied growth rate' is the market's embedded expectation.</t>
        </is>
      </c>
    </row>
    <row r="34" ht="18" customHeight="1">
      <c r="B34" s="98" t="inlineStr">
        <is>
          <t xml:space="preserve">  e)  You then decide if that growth rate is achievable. If yes → fairly valued. If too high → potentially overvalued. If conservative → potentially undervalued.</t>
        </is>
      </c>
    </row>
    <row r="36" ht="18" customHeight="1">
      <c r="B36" s="91" t="inlineStr">
        <is>
          <t>═══════════════════════════════════════════════════════</t>
        </is>
      </c>
    </row>
    <row r="37" ht="22" customHeight="1">
      <c r="B37" s="92" t="inlineStr">
        <is>
          <t>4.  UPDATING THE MODEL (Annual Refresh)</t>
        </is>
      </c>
    </row>
    <row r="38" ht="18" customHeight="1">
      <c r="B38" s="91" t="inlineStr">
        <is>
          <t>═══════════════════════════════════════════════════════</t>
        </is>
      </c>
    </row>
    <row r="39" ht="18" customHeight="1">
      <c r="B39" s="93" t="inlineStr">
        <is>
          <t>Each year, update the following cells when new financials are released:</t>
        </is>
      </c>
    </row>
    <row r="40" ht="18" customHeight="1">
      <c r="B40" s="98" t="inlineStr">
        <is>
          <t xml:space="preserve">  • 'Reverse DCF'!C8  — Base FCF (most recent fiscal year FCF, $M)</t>
        </is>
      </c>
    </row>
    <row r="41" ht="18" customHeight="1">
      <c r="B41" s="98" t="inlineStr">
        <is>
          <t xml:space="preserve">  • 'Reverse DCF'!C9  — Shares Outstanding (diluted, millions)</t>
        </is>
      </c>
    </row>
    <row r="42" ht="18" customHeight="1">
      <c r="B42" s="98" t="inlineStr">
        <is>
          <t xml:space="preserve">  • 'Reverse DCF'!C10 — Net Debt (total debt minus cash, $M)</t>
        </is>
      </c>
    </row>
    <row r="43" ht="18" customHeight="1">
      <c r="B43" s="98" t="inlineStr">
        <is>
          <t xml:space="preserve">  • 'WACC'!C21        — Market Capitalisation ($M)</t>
        </is>
      </c>
    </row>
    <row r="44" ht="18" customHeight="1">
      <c r="B44" s="98" t="inlineStr">
        <is>
          <t xml:space="preserve">  • 'WACC'!C22        — Total Debt ($M)</t>
        </is>
      </c>
    </row>
    <row r="45" ht="18" customHeight="1">
      <c r="B45" s="98" t="inlineStr">
        <is>
          <t xml:space="preserve">  • 'Historicals' sheet — Add the new year's data in a new column</t>
        </is>
      </c>
    </row>
    <row r="46" ht="18" customHeight="1">
      <c r="B46" s="100" t="inlineStr">
        <is>
          <t xml:space="preserve">  All other outputs (implied growth rate, intrinsic value, sensitivity tables) will auto-recalculate.</t>
        </is>
      </c>
    </row>
    <row r="48" ht="18" customHeight="1">
      <c r="B48" s="91" t="inlineStr">
        <is>
          <t>═══════════════════════════════════════════════════════</t>
        </is>
      </c>
    </row>
    <row r="49" ht="22" customHeight="1">
      <c r="B49" s="92" t="inlineStr">
        <is>
          <t>5.  KEY FORMULA REFERENCE</t>
        </is>
      </c>
    </row>
    <row r="50" ht="18" customHeight="1">
      <c r="B50" s="91" t="inlineStr">
        <is>
          <t>═══════════════════════════════════════════════════════</t>
        </is>
      </c>
    </row>
    <row r="51" ht="18" customHeight="1">
      <c r="B51" s="97" t="inlineStr">
        <is>
          <t xml:space="preserve">  Enterprise Value (DCF):</t>
        </is>
      </c>
    </row>
    <row r="52" ht="18" customHeight="1">
      <c r="B52" s="96" t="inlineStr">
        <is>
          <t xml:space="preserve">    EV = Σ[FCF₀×(1+g)ᵗ / (1+WACC)ᵗ] + FCF₀×(1+g)ⁿ×(1+gₜ) / [(WACC−gₜ)×(1+WACC)ⁿ]</t>
        </is>
      </c>
    </row>
    <row r="53" ht="18" customHeight="1">
      <c r="B53" s="97" t="inlineStr">
        <is>
          <t xml:space="preserve">  Equity Value:</t>
        </is>
      </c>
    </row>
    <row r="54" ht="18" customHeight="1">
      <c r="B54" s="96" t="inlineStr">
        <is>
          <t xml:space="preserve">    Equity Value = Enterprise Value − Net Debt</t>
        </is>
      </c>
    </row>
    <row r="55" ht="18" customHeight="1">
      <c r="B55" s="97" t="inlineStr">
        <is>
          <t xml:space="preserve">  Stock Price:</t>
        </is>
      </c>
    </row>
    <row r="56" ht="18" customHeight="1">
      <c r="B56" s="96" t="inlineStr">
        <is>
          <t xml:space="preserve">    Price = Equity Value ÷ Shares Outstanding</t>
        </is>
      </c>
    </row>
    <row r="57" ht="18" customHeight="1">
      <c r="B57" s="97" t="inlineStr">
        <is>
          <t xml:space="preserve">  CAPM (Cost of Equity):</t>
        </is>
      </c>
    </row>
    <row r="58" ht="18" customHeight="1">
      <c r="B58" s="96" t="inlineStr">
        <is>
          <t xml:space="preserve">    Ke = Rf + β × (ERP + CRP)</t>
        </is>
      </c>
    </row>
    <row r="59" ht="18" customHeight="1">
      <c r="B59" s="97" t="inlineStr">
        <is>
          <t xml:space="preserve">  WACC:</t>
        </is>
      </c>
    </row>
    <row r="60" ht="18" customHeight="1">
      <c r="B60" s="96" t="inlineStr">
        <is>
          <t xml:space="preserve">    WACC = (E/V) × Ke + (D/V) × Kd × (1 − Tax Rate)</t>
        </is>
      </c>
    </row>
    <row r="61" ht="18" customHeight="1">
      <c r="B61" s="97" t="inlineStr">
        <is>
          <t xml:space="preserve">  Terminal Value:</t>
        </is>
      </c>
    </row>
    <row r="62" ht="18" customHeight="1">
      <c r="B62" s="96" t="inlineStr">
        <is>
          <t xml:space="preserve">    TV = FCFₙ × (1 + gₜ) / (WACC − gₜ)</t>
        </is>
      </c>
    </row>
    <row r="63" ht="18" customHeight="1">
      <c r="B63" s="97" t="inlineStr">
        <is>
          <t xml:space="preserve">  Implied Growth (Excel formula):</t>
        </is>
      </c>
    </row>
    <row r="64" ht="18" customHeight="1">
      <c r="B64" s="96" t="inlineStr">
        <is>
          <t xml:space="preserve">    =INDEX(growth_rates, MATCH(MIN(ABS(dcf_prices − current_price)), ABS(dcf_prices − current_price), 0))</t>
        </is>
      </c>
    </row>
    <row r="66" ht="18" customHeight="1">
      <c r="B66" s="101" t="inlineStr">
        <is>
          <t>DISCLAIMER: This model is for educational and analytical purposes only. It does not constitute investment advice. Always do your own due diligence.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2026-02-25T20:38:19Z</dcterms:created>
  <dcterms:modified xsi:type="dcterms:W3CDTF">2026-02-25T20:38:19Z</dcterms:modified>
</cp:coreProperties>
</file>